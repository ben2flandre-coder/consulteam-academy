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f007b9991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 avant usage" sheetId="1" r:id="Rf396e505822e4728"/>
    <x:sheet xmlns:r="http://schemas.openxmlformats.org/officeDocument/2006/relationships" name="Tableau de bord" sheetId="2" r:id="R5bbd741a68b44958"/>
    <x:sheet xmlns:r="http://schemas.openxmlformats.org/officeDocument/2006/relationships" name="Criticité HACCP" sheetId="3" r:id="R5dc55903597d453f"/>
    <x:sheet xmlns:r="http://schemas.openxmlformats.org/officeDocument/2006/relationships" name="Suivi températures" sheetId="4" r:id="R11ed166d037c4885"/>
    <x:sheet xmlns:r="http://schemas.openxmlformats.org/officeDocument/2006/relationships" name="Réception" sheetId="5" r:id="Rbf648b8a6f9942fb"/>
    <x:sheet xmlns:r="http://schemas.openxmlformats.org/officeDocument/2006/relationships" name="Audit PMS" sheetId="6" r:id="Rcc0ca118d79a4429"/>
    <x:sheet xmlns:r="http://schemas.openxmlformats.org/officeDocument/2006/relationships" name="Non-conformités" sheetId="7" r:id="Rc167d9deefad4149"/>
    <x:sheet xmlns:r="http://schemas.openxmlformats.org/officeDocument/2006/relationships" name="Plan nettoyage" sheetId="8" r:id="R58fcfdfd6cd8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8">
    <x:font>
      <x:sz val="11"/>
      <x:name val="Carlito"/>
    </x:font>
    <x:font>
      <x:sz val="10"/>
      <x:color rgb="FF172B4D"/>
      <x:name val="Arial"/>
    </x:font>
    <x:font>
      <x:b/>
      <x:sz val="16"/>
      <x:color rgb="FF0B2545"/>
      <x:name val="Arial"/>
    </x:font>
    <x:font>
      <x:i/>
      <x:sz val="10"/>
      <x:color rgb="FF52657A"/>
      <x:name val="Arial"/>
    </x:font>
    <x:font>
      <x:b/>
      <x:sz val="11"/>
      <x:color rgb="FF0B2545"/>
      <x:name val="Arial"/>
    </x:font>
    <x:font>
      <x:b/>
      <x:sz val="10"/>
      <x:color rgb="FFFFFFFF"/>
      <x:name val="Arial"/>
    </x:font>
    <x:font>
      <x:b/>
      <x:sz val="10"/>
      <x:color rgb="FF0B2545"/>
      <x:name val="Arial"/>
    </x:font>
    <x:font>
      <x:b/>
      <x:sz val="12"/>
      <x:color rgb="FF0B254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E63B5"/>
      </x:patternFill>
    </x:fill>
    <x:fill>
      <x:patternFill patternType="solid">
        <x:fgColor rgb="FFFFF3D6"/>
      </x:patternFill>
    </x:fill>
    <x:fill>
      <x:patternFill patternType="solid">
        <x:fgColor rgb="FF0B2545"/>
      </x:patternFill>
    </x:fill>
    <x:fill>
      <x:patternFill patternType="solid">
        <x:fgColor rgb="FFEAF3FC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BDD0E3"/>
      </x:left>
      <x:right style="thin">
        <x:color rgb="FFFFFFFF"/>
      </x:right>
      <x:top style="thin">
        <x:color rgb="FFBDD0E3"/>
      </x:top>
    </x:border>
    <x:border>
      <x:left style="thin">
        <x:color rgb="FFFFFFFF"/>
      </x:left>
      <x:right style="thin">
        <x:color rgb="FFBDD0E3"/>
      </x:right>
      <x:top style="thin">
        <x:color rgb="FFBDD0E3"/>
      </x:top>
    </x:border>
    <x:border>
      <x:left style="thin">
        <x:color rgb="FFBDD0E3"/>
      </x:left>
    </x:border>
    <x:border>
      <x:right style="thin">
        <x:color rgb="FFBDD0E3"/>
      </x:right>
    </x:border>
    <x:border>
      <x:left style="thin">
        <x:color rgb="FFBDD0E3"/>
      </x:left>
      <x:bottom style="thin">
        <x:color rgb="FFBDD0E3"/>
      </x:bottom>
    </x:border>
    <x:border>
      <x:right style="thin">
        <x:color rgb="FFBDD0E3"/>
      </x:right>
      <x:bottom style="thin">
        <x:color rgb="FFBDD0E3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BDD0E3"/>
      </x:top>
    </x:border>
    <x:border>
      <x:bottom style="thin">
        <x:color rgb="FFBDD0E3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200" fontId="1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f0557e99647f6" /><Relationship Type="http://schemas.openxmlformats.org/officeDocument/2006/relationships/theme" Target="/xl/theme/theme1.xml" Id="Rf405dd5f0d5e4a36" /><Relationship Type="http://schemas.openxmlformats.org/officeDocument/2006/relationships/sharedStrings" Target="/xl/sharedStrings.xml" Id="R7b9456f361b74584" /><Relationship Type="http://schemas.openxmlformats.org/officeDocument/2006/relationships/worksheet" Target="/xl/worksheets/sheet1.xml" Id="Rf396e505822e4728" /><Relationship Type="http://schemas.openxmlformats.org/officeDocument/2006/relationships/worksheet" Target="/xl/worksheets/sheet2.xml" Id="R5bbd741a68b44958" /><Relationship Type="http://schemas.openxmlformats.org/officeDocument/2006/relationships/worksheet" Target="/xl/worksheets/sheet3.xml" Id="R5dc55903597d453f" /><Relationship Type="http://schemas.openxmlformats.org/officeDocument/2006/relationships/worksheet" Target="/xl/worksheets/sheet4.xml" Id="R11ed166d037c4885" /><Relationship Type="http://schemas.openxmlformats.org/officeDocument/2006/relationships/worksheet" Target="/xl/worksheets/sheet5.xml" Id="Rbf648b8a6f9942fb" /><Relationship Type="http://schemas.openxmlformats.org/officeDocument/2006/relationships/worksheet" Target="/xl/worksheets/sheet6.xml" Id="Rcc0ca118d79a4429" /><Relationship Type="http://schemas.openxmlformats.org/officeDocument/2006/relationships/worksheet" Target="/xl/worksheets/sheet7.xml" Id="Rc167d9deefad4149" /><Relationship Type="http://schemas.openxmlformats.org/officeDocument/2006/relationships/worksheet" Target="/xl/worksheets/sheet8.xml" Id="R58fcfdfd6cd8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545"/>
  </x:sheetPr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Outils PMS · pilotage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Consul Team · ADONIS SANARY · Conception et adaptation pédagogique : Benoît Deflandre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7" t="str">
        <x:v>Boîte à outils complémentaire : compléter, faire vérifier et valider chaque seuil, fréquence, procédure et responsable avant emploi.</x:v>
      </x:c>
      <x:c r="B6" s="7"/>
      <x:c r="C6" s="7"/>
      <x:c r="D6" s="7"/>
      <x:c r="E6" s="7"/>
      <x:c r="F6" s="7"/>
      <x:c r="G6" s="7"/>
      <x:c r="H6" s="7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17" t="str">
        <x:v>Outil</x:v>
      </x:c>
      <x:c r="B8" s="18" t="str">
        <x:v>Fonction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9" t="str">
        <x:v>Tableau de bord</x:v>
      </x:c>
      <x:c r="B9" s="23" t="str">
        <x:v>Vue des relevés, écarts et actions à renseigner.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2" customHeight="1">
      <x:c r="A10" s="19" t="str">
        <x:v>Criticité HACCP</x:v>
      </x:c>
      <x:c r="B10" s="23" t="str">
        <x:v>Calcul pédagogique Gravité × Fréquence × Maîtrise ; ne remplace pas l’analyse HACCP validée.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32" customHeight="1">
      <x:c r="A11" s="19" t="str">
        <x:v>Suivi températures</x:v>
      </x:c>
      <x:c r="B11" s="23" t="str">
        <x:v>Relevés et écart au seuil renseigné par le site.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2" customHeight="1">
      <x:c r="A12" s="19" t="str">
        <x:v>Réception</x:v>
      </x:c>
      <x:c r="B12" s="23" t="str">
        <x:v>Contrôle de réception et décision documentée.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32" customHeight="1">
      <x:c r="A13" s="19" t="str">
        <x:v>Audit PMS</x:v>
      </x:c>
      <x:c r="B13" s="23" t="str">
        <x:v>Grille interne avec synthèse des résultats.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32" customHeight="1">
      <x:c r="A14" s="19" t="str">
        <x:v>Non-conformités</x:v>
      </x:c>
      <x:c r="B14" s="23" t="str">
        <x:v>Registre, action, preuve et vérification.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2" customHeight="1">
      <x:c r="A15" s="21" t="str">
        <x:v>Plan nettoyage</x:v>
      </x:c>
      <x:c r="B15" s="24" t="str">
        <x:v>Tableau d’organisation et de contrôle.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63B5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Tableau de bord PMS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Indicateurs calculés à partir des lignes complétées dans les onglets de suivi.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7" t="str">
        <x:v>Indicateur</x:v>
      </x:c>
      <x:c r="B7" s="18" t="str">
        <x:v>Valeur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8" t="str">
        <x:v>Relevés température saisis</x:v>
      </x:c>
      <x:c r="B8" s="29" t="n">
        <x:f>COUNTIF('Suivi températures'!A7:A36,"&lt;&gt;")</x:f>
        <x:v>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8" t="str">
        <x:v>Écarts de température</x:v>
      </x:c>
      <x:c r="B9" s="29" t="n">
        <x:f>COUNTIF('Suivi températures'!H7:H36,"Écart")</x:f>
        <x:v>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8" t="str">
        <x:v>Non-conformités ouvertes</x:v>
      </x:c>
      <x:c r="B10" s="29" t="n">
        <x:f>COUNTIF('Non-conformités'!I7:I36,"&lt;&gt;Clôturée")</x:f>
        <x:v>30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30" t="str">
        <x:v>Audits à reprendre</x:v>
      </x:c>
      <x:c r="B11" s="31" t="n">
        <x:f>COUNTIF('Audit PMS'!F7:F31,"Non conforme")</x:f>
        <x:v>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33" t="str">
        <x:v>Lecture : les chiffres organisent le suivi. Ils ne prouvent pas la conformité d’une activité ; revenir au fait, à la procédure validée, à la mesure et à la preuve.</x:v>
      </x:c>
      <x:c r="B14" s="33"/>
      <x:c r="C14" s="33"/>
      <x:c r="D14" s="33"/>
      <x:c r="E14" s="33"/>
      <x:c r="F14" s="33"/>
      <x:c r="G14" s="33"/>
      <x:c r="H14" s="33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  <x:mergeCell ref="A14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C8F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8" hidden="0" customWidth="1"/>
    <x:col min="4" max="4" width="17" hidden="0" customWidth="1"/>
    <x:col min="5" max="5" width="12" hidden="0" customWidth="1"/>
    <x:col min="6" max="6" width="16" hidden="0" customWidth="1"/>
    <x:col min="7" max="7" width="40" hidden="0" customWidth="1"/>
    <x:col min="8" max="8" width="22" hidden="0" customWidth="1"/>
    <x:col min="9" max="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Calculateur de criticité HACCP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Échelle pédagogique proposée : saisir les notes adaptées au PMS validé du site.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Étape / danger</x:v>
      </x:c>
      <x:c r="B6" s="41" t="str">
        <x:v>Gravité (1–4)</x:v>
      </x:c>
      <x:c r="C6" s="41" t="str">
        <x:v>Fréquence (1–4)</x:v>
      </x:c>
      <x:c r="D6" s="41" t="str">
        <x:v>Maîtrise (1–4)</x:v>
      </x:c>
      <x:c r="E6" s="41" t="str">
        <x:v>Score</x:v>
      </x:c>
      <x:c r="F6" s="41" t="str">
        <x:v>Priorité</x:v>
      </x:c>
      <x:c r="G6" s="41" t="str">
        <x:v>Mesure / justification</x:v>
      </x:c>
      <x:c r="H6" s="41" t="str">
        <x:v>Pilote</x:v>
      </x:c>
      <x:c r="I6" s="18" t="str">
        <x:v>Échéance</x:v>
      </x:c>
      <x:c r="J6" s="2"/>
      <x:c r="K6" s="2"/>
      <x:c r="L6" s="2"/>
      <x:c r="M6" s="2"/>
      <x:c r="N6" s="2"/>
      <x:c r="O6" s="2"/>
      <x:c r="P6" s="2"/>
      <x:c r="Q6" s="2"/>
    </x:row>
    <x:row r="7" ht="28" customHeight="1">
      <x:c r="A7" s="42" t="str"/>
      <x:c r="B7" s="38" t="n">
        <x:v>1</x:v>
      </x:c>
      <x:c r="C7" s="38" t="n">
        <x:v>1</x:v>
      </x:c>
      <x:c r="D7" s="38" t="n">
        <x:v>1</x:v>
      </x:c>
      <x:c r="E7" s="48" t="n">
        <x:f>B7*C7*D7</x:f>
        <x:v>1</x:v>
      </x:c>
      <x:c r="F7" s="48" t="str">
        <x:f>IF(E7&gt;=32,"Critique",IF(E7&gt;=16,"Prioritaire","À suivre"))</x:f>
        <x:v>À suivre</x:v>
      </x:c>
      <x:c r="G7" s="38" t="str"/>
      <x:c r="H7" s="38" t="str"/>
      <x:c r="I7" s="43"/>
      <x:c r="J7" s="2"/>
      <x:c r="K7" s="2"/>
      <x:c r="L7" s="2"/>
      <x:c r="M7" s="2"/>
      <x:c r="N7" s="2"/>
      <x:c r="O7" s="2"/>
      <x:c r="P7" s="2"/>
      <x:c r="Q7" s="2"/>
    </x:row>
    <x:row r="8" ht="28" customHeight="1">
      <x:c r="A8" s="42" t="str"/>
      <x:c r="B8" s="38" t="n">
        <x:v>1</x:v>
      </x:c>
      <x:c r="C8" s="38" t="n">
        <x:v>1</x:v>
      </x:c>
      <x:c r="D8" s="38" t="n">
        <x:v>1</x:v>
      </x:c>
      <x:c r="E8" s="48" t="n">
        <x:f>B8*C8*D8</x:f>
        <x:v>1</x:v>
      </x:c>
      <x:c r="F8" s="48" t="str">
        <x:f>IF(E8&gt;=32,"Critique",IF(E8&gt;=16,"Prioritaire","À suivre"))</x:f>
        <x:v>À suivre</x:v>
      </x:c>
      <x:c r="G8" s="38" t="str"/>
      <x:c r="H8" s="38" t="str"/>
      <x:c r="I8" s="43"/>
      <x:c r="J8" s="2"/>
      <x:c r="K8" s="2"/>
      <x:c r="L8" s="2"/>
      <x:c r="M8" s="2"/>
      <x:c r="N8" s="2"/>
      <x:c r="O8" s="2"/>
      <x:c r="P8" s="2"/>
      <x:c r="Q8" s="2"/>
    </x:row>
    <x:row r="9" ht="28" customHeight="1">
      <x:c r="A9" s="42" t="str"/>
      <x:c r="B9" s="38" t="n">
        <x:v>1</x:v>
      </x:c>
      <x:c r="C9" s="38" t="n">
        <x:v>1</x:v>
      </x:c>
      <x:c r="D9" s="38" t="n">
        <x:v>1</x:v>
      </x:c>
      <x:c r="E9" s="48" t="n">
        <x:f>B9*C9*D9</x:f>
        <x:v>1</x:v>
      </x:c>
      <x:c r="F9" s="48" t="str">
        <x:f>IF(E9&gt;=32,"Critique",IF(E9&gt;=16,"Prioritaire","À suivre"))</x:f>
        <x:v>À suivre</x:v>
      </x:c>
      <x:c r="G9" s="38" t="str"/>
      <x:c r="H9" s="38" t="str"/>
      <x:c r="I9" s="43"/>
      <x:c r="J9" s="2"/>
      <x:c r="K9" s="2"/>
      <x:c r="L9" s="2"/>
      <x:c r="M9" s="2"/>
      <x:c r="N9" s="2"/>
      <x:c r="O9" s="2"/>
      <x:c r="P9" s="2"/>
      <x:c r="Q9" s="2"/>
    </x:row>
    <x:row r="10" ht="28" customHeight="1">
      <x:c r="A10" s="42" t="str"/>
      <x:c r="B10" s="38" t="n">
        <x:v>1</x:v>
      </x:c>
      <x:c r="C10" s="38" t="n">
        <x:v>1</x:v>
      </x:c>
      <x:c r="D10" s="38" t="n">
        <x:v>1</x:v>
      </x:c>
      <x:c r="E10" s="48" t="n">
        <x:f>B10*C10*D10</x:f>
        <x:v>1</x:v>
      </x:c>
      <x:c r="F10" s="48" t="str">
        <x:f>IF(E10&gt;=32,"Critique",IF(E10&gt;=16,"Prioritaire","À suivre"))</x:f>
        <x:v>À suivre</x:v>
      </x:c>
      <x:c r="G10" s="38" t="str"/>
      <x:c r="H10" s="38" t="str"/>
      <x:c r="I10" s="43"/>
      <x:c r="J10" s="2"/>
      <x:c r="K10" s="2"/>
      <x:c r="L10" s="2"/>
      <x:c r="M10" s="2"/>
      <x:c r="N10" s="2"/>
      <x:c r="O10" s="2"/>
      <x:c r="P10" s="2"/>
      <x:c r="Q10" s="2"/>
    </x:row>
    <x:row r="11" ht="28" customHeight="1">
      <x:c r="A11" s="42" t="str"/>
      <x:c r="B11" s="38" t="n">
        <x:v>1</x:v>
      </x:c>
      <x:c r="C11" s="38" t="n">
        <x:v>1</x:v>
      </x:c>
      <x:c r="D11" s="38" t="n">
        <x:v>1</x:v>
      </x:c>
      <x:c r="E11" s="48" t="n">
        <x:f>B11*C11*D11</x:f>
        <x:v>1</x:v>
      </x:c>
      <x:c r="F11" s="48" t="str">
        <x:f>IF(E11&gt;=32,"Critique",IF(E11&gt;=16,"Prioritaire","À suivre"))</x:f>
        <x:v>À suivre</x:v>
      </x:c>
      <x:c r="G11" s="38" t="str"/>
      <x:c r="H11" s="38" t="str"/>
      <x:c r="I11" s="43"/>
      <x:c r="J11" s="2"/>
      <x:c r="K11" s="2"/>
      <x:c r="L11" s="2"/>
      <x:c r="M11" s="2"/>
      <x:c r="N11" s="2"/>
      <x:c r="O11" s="2"/>
      <x:c r="P11" s="2"/>
      <x:c r="Q11" s="2"/>
    </x:row>
    <x:row r="12" ht="28" customHeight="1">
      <x:c r="A12" s="42" t="str"/>
      <x:c r="B12" s="38" t="n">
        <x:v>1</x:v>
      </x:c>
      <x:c r="C12" s="38" t="n">
        <x:v>1</x:v>
      </x:c>
      <x:c r="D12" s="38" t="n">
        <x:v>1</x:v>
      </x:c>
      <x:c r="E12" s="48" t="n">
        <x:f>B12*C12*D12</x:f>
        <x:v>1</x:v>
      </x:c>
      <x:c r="F12" s="48" t="str">
        <x:f>IF(E12&gt;=32,"Critique",IF(E12&gt;=16,"Prioritaire","À suivre"))</x:f>
        <x:v>À suivre</x:v>
      </x:c>
      <x:c r="G12" s="38" t="str"/>
      <x:c r="H12" s="38" t="str"/>
      <x:c r="I12" s="43"/>
      <x:c r="J12" s="2"/>
      <x:c r="K12" s="2"/>
      <x:c r="L12" s="2"/>
      <x:c r="M12" s="2"/>
      <x:c r="N12" s="2"/>
      <x:c r="O12" s="2"/>
      <x:c r="P12" s="2"/>
      <x:c r="Q12" s="2"/>
    </x:row>
    <x:row r="13" ht="28" customHeight="1">
      <x:c r="A13" s="42" t="str"/>
      <x:c r="B13" s="38" t="n">
        <x:v>1</x:v>
      </x:c>
      <x:c r="C13" s="38" t="n">
        <x:v>1</x:v>
      </x:c>
      <x:c r="D13" s="38" t="n">
        <x:v>1</x:v>
      </x:c>
      <x:c r="E13" s="48" t="n">
        <x:f>B13*C13*D13</x:f>
        <x:v>1</x:v>
      </x:c>
      <x:c r="F13" s="48" t="str">
        <x:f>IF(E13&gt;=32,"Critique",IF(E13&gt;=16,"Prioritaire","À suivre"))</x:f>
        <x:v>À suivre</x:v>
      </x:c>
      <x:c r="G13" s="38" t="str"/>
      <x:c r="H13" s="38" t="str"/>
      <x:c r="I13" s="43"/>
      <x:c r="J13" s="2"/>
      <x:c r="K13" s="2"/>
      <x:c r="L13" s="2"/>
      <x:c r="M13" s="2"/>
      <x:c r="N13" s="2"/>
      <x:c r="O13" s="2"/>
      <x:c r="P13" s="2"/>
      <x:c r="Q13" s="2"/>
    </x:row>
    <x:row r="14" ht="28" customHeight="1">
      <x:c r="A14" s="42" t="str"/>
      <x:c r="B14" s="38" t="n">
        <x:v>1</x:v>
      </x:c>
      <x:c r="C14" s="38" t="n">
        <x:v>1</x:v>
      </x:c>
      <x:c r="D14" s="38" t="n">
        <x:v>1</x:v>
      </x:c>
      <x:c r="E14" s="48" t="n">
        <x:f>B14*C14*D14</x:f>
        <x:v>1</x:v>
      </x:c>
      <x:c r="F14" s="48" t="str">
        <x:f>IF(E14&gt;=32,"Critique",IF(E14&gt;=16,"Prioritaire","À suivre"))</x:f>
        <x:v>À suivre</x:v>
      </x:c>
      <x:c r="G14" s="38" t="str"/>
      <x:c r="H14" s="38" t="str"/>
      <x:c r="I14" s="43"/>
      <x:c r="J14" s="2"/>
      <x:c r="K14" s="2"/>
      <x:c r="L14" s="2"/>
      <x:c r="M14" s="2"/>
      <x:c r="N14" s="2"/>
      <x:c r="O14" s="2"/>
      <x:c r="P14" s="2"/>
      <x:c r="Q14" s="2"/>
    </x:row>
    <x:row r="15" ht="28" customHeight="1">
      <x:c r="A15" s="42" t="str"/>
      <x:c r="B15" s="38" t="n">
        <x:v>1</x:v>
      </x:c>
      <x:c r="C15" s="38" t="n">
        <x:v>1</x:v>
      </x:c>
      <x:c r="D15" s="38" t="n">
        <x:v>1</x:v>
      </x:c>
      <x:c r="E15" s="48" t="n">
        <x:f>B15*C15*D15</x:f>
        <x:v>1</x:v>
      </x:c>
      <x:c r="F15" s="48" t="str">
        <x:f>IF(E15&gt;=32,"Critique",IF(E15&gt;=16,"Prioritaire","À suivre"))</x:f>
        <x:v>À suivre</x:v>
      </x:c>
      <x:c r="G15" s="38" t="str"/>
      <x:c r="H15" s="38" t="str"/>
      <x:c r="I15" s="43"/>
      <x:c r="J15" s="2"/>
      <x:c r="K15" s="2"/>
      <x:c r="L15" s="2"/>
      <x:c r="M15" s="2"/>
      <x:c r="N15" s="2"/>
      <x:c r="O15" s="2"/>
      <x:c r="P15" s="2"/>
      <x:c r="Q15" s="2"/>
    </x:row>
    <x:row r="16" ht="28" customHeight="1">
      <x:c r="A16" s="42" t="str"/>
      <x:c r="B16" s="38" t="n">
        <x:v>1</x:v>
      </x:c>
      <x:c r="C16" s="38" t="n">
        <x:v>1</x:v>
      </x:c>
      <x:c r="D16" s="38" t="n">
        <x:v>1</x:v>
      </x:c>
      <x:c r="E16" s="48" t="n">
        <x:f>B16*C16*D16</x:f>
        <x:v>1</x:v>
      </x:c>
      <x:c r="F16" s="48" t="str">
        <x:f>IF(E16&gt;=32,"Critique",IF(E16&gt;=16,"Prioritaire","À suivre"))</x:f>
        <x:v>À suivre</x:v>
      </x:c>
      <x:c r="G16" s="38" t="str"/>
      <x:c r="H16" s="38" t="str"/>
      <x:c r="I16" s="43"/>
      <x:c r="J16" s="2"/>
      <x:c r="K16" s="2"/>
      <x:c r="L16" s="2"/>
      <x:c r="M16" s="2"/>
      <x:c r="N16" s="2"/>
      <x:c r="O16" s="2"/>
      <x:c r="P16" s="2"/>
      <x:c r="Q16" s="2"/>
    </x:row>
    <x:row r="17" ht="28" customHeight="1">
      <x:c r="A17" s="42" t="str"/>
      <x:c r="B17" s="38" t="n">
        <x:v>1</x:v>
      </x:c>
      <x:c r="C17" s="38" t="n">
        <x:v>1</x:v>
      </x:c>
      <x:c r="D17" s="38" t="n">
        <x:v>1</x:v>
      </x:c>
      <x:c r="E17" s="48" t="n">
        <x:f>B17*C17*D17</x:f>
        <x:v>1</x:v>
      </x:c>
      <x:c r="F17" s="48" t="str">
        <x:f>IF(E17&gt;=32,"Critique",IF(E17&gt;=16,"Prioritaire","À suivre"))</x:f>
        <x:v>À suivre</x:v>
      </x:c>
      <x:c r="G17" s="38" t="str"/>
      <x:c r="H17" s="38" t="str"/>
      <x:c r="I17" s="43"/>
      <x:c r="J17" s="2"/>
      <x:c r="K17" s="2"/>
      <x:c r="L17" s="2"/>
      <x:c r="M17" s="2"/>
      <x:c r="N17" s="2"/>
      <x:c r="O17" s="2"/>
      <x:c r="P17" s="2"/>
      <x:c r="Q17" s="2"/>
    </x:row>
    <x:row r="18" ht="28" customHeight="1">
      <x:c r="A18" s="42" t="str"/>
      <x:c r="B18" s="38" t="n">
        <x:v>1</x:v>
      </x:c>
      <x:c r="C18" s="38" t="n">
        <x:v>1</x:v>
      </x:c>
      <x:c r="D18" s="38" t="n">
        <x:v>1</x:v>
      </x:c>
      <x:c r="E18" s="48" t="n">
        <x:f>B18*C18*D18</x:f>
        <x:v>1</x:v>
      </x:c>
      <x:c r="F18" s="48" t="str">
        <x:f>IF(E18&gt;=32,"Critique",IF(E18&gt;=16,"Prioritaire","À suivre"))</x:f>
        <x:v>À suivre</x:v>
      </x:c>
      <x:c r="G18" s="38" t="str"/>
      <x:c r="H18" s="38" t="str"/>
      <x:c r="I18" s="43"/>
      <x:c r="J18" s="2"/>
      <x:c r="K18" s="2"/>
      <x:c r="L18" s="2"/>
      <x:c r="M18" s="2"/>
      <x:c r="N18" s="2"/>
      <x:c r="O18" s="2"/>
      <x:c r="P18" s="2"/>
      <x:c r="Q18" s="2"/>
    </x:row>
    <x:row r="19" ht="28" customHeight="1">
      <x:c r="A19" s="42" t="str"/>
      <x:c r="B19" s="38" t="n">
        <x:v>1</x:v>
      </x:c>
      <x:c r="C19" s="38" t="n">
        <x:v>1</x:v>
      </x:c>
      <x:c r="D19" s="38" t="n">
        <x:v>1</x:v>
      </x:c>
      <x:c r="E19" s="48" t="n">
        <x:f>B19*C19*D19</x:f>
        <x:v>1</x:v>
      </x:c>
      <x:c r="F19" s="48" t="str">
        <x:f>IF(E19&gt;=32,"Critique",IF(E19&gt;=16,"Prioritaire","À suivre"))</x:f>
        <x:v>À suivre</x:v>
      </x:c>
      <x:c r="G19" s="38" t="str"/>
      <x:c r="H19" s="38" t="str"/>
      <x:c r="I19" s="43"/>
      <x:c r="J19" s="2"/>
      <x:c r="K19" s="2"/>
      <x:c r="L19" s="2"/>
      <x:c r="M19" s="2"/>
      <x:c r="N19" s="2"/>
      <x:c r="O19" s="2"/>
      <x:c r="P19" s="2"/>
      <x:c r="Q19" s="2"/>
    </x:row>
    <x:row r="20" ht="28" customHeight="1">
      <x:c r="A20" s="42" t="str"/>
      <x:c r="B20" s="38" t="n">
        <x:v>1</x:v>
      </x:c>
      <x:c r="C20" s="38" t="n">
        <x:v>1</x:v>
      </x:c>
      <x:c r="D20" s="38" t="n">
        <x:v>1</x:v>
      </x:c>
      <x:c r="E20" s="48" t="n">
        <x:f>B20*C20*D20</x:f>
        <x:v>1</x:v>
      </x:c>
      <x:c r="F20" s="48" t="str">
        <x:f>IF(E20&gt;=32,"Critique",IF(E20&gt;=16,"Prioritaire","À suivre"))</x:f>
        <x:v>À suivre</x:v>
      </x:c>
      <x:c r="G20" s="38" t="str"/>
      <x:c r="H20" s="38" t="str"/>
      <x:c r="I20" s="43"/>
      <x:c r="J20" s="2"/>
      <x:c r="K20" s="2"/>
      <x:c r="L20" s="2"/>
      <x:c r="M20" s="2"/>
      <x:c r="N20" s="2"/>
      <x:c r="O20" s="2"/>
      <x:c r="P20" s="2"/>
      <x:c r="Q20" s="2"/>
    </x:row>
    <x:row r="21" ht="28" customHeight="1">
      <x:c r="A21" s="42" t="str"/>
      <x:c r="B21" s="38" t="n">
        <x:v>1</x:v>
      </x:c>
      <x:c r="C21" s="38" t="n">
        <x:v>1</x:v>
      </x:c>
      <x:c r="D21" s="38" t="n">
        <x:v>1</x:v>
      </x:c>
      <x:c r="E21" s="48" t="n">
        <x:f>B21*C21*D21</x:f>
        <x:v>1</x:v>
      </x:c>
      <x:c r="F21" s="48" t="str">
        <x:f>IF(E21&gt;=32,"Critique",IF(E21&gt;=16,"Prioritaire","À suivre"))</x:f>
        <x:v>À suivre</x:v>
      </x:c>
      <x:c r="G21" s="38" t="str"/>
      <x:c r="H21" s="38" t="str"/>
      <x:c r="I21" s="43"/>
      <x:c r="J21" s="2"/>
      <x:c r="K21" s="2"/>
      <x:c r="L21" s="2"/>
      <x:c r="M21" s="2"/>
      <x:c r="N21" s="2"/>
      <x:c r="O21" s="2"/>
      <x:c r="P21" s="2"/>
      <x:c r="Q21" s="2"/>
    </x:row>
    <x:row r="22" ht="28" customHeight="1">
      <x:c r="A22" s="42" t="str"/>
      <x:c r="B22" s="38" t="n">
        <x:v>1</x:v>
      </x:c>
      <x:c r="C22" s="38" t="n">
        <x:v>1</x:v>
      </x:c>
      <x:c r="D22" s="38" t="n">
        <x:v>1</x:v>
      </x:c>
      <x:c r="E22" s="48" t="n">
        <x:f>B22*C22*D22</x:f>
        <x:v>1</x:v>
      </x:c>
      <x:c r="F22" s="48" t="str">
        <x:f>IF(E22&gt;=32,"Critique",IF(E22&gt;=16,"Prioritaire","À suivre"))</x:f>
        <x:v>À suivre</x:v>
      </x:c>
      <x:c r="G22" s="38" t="str"/>
      <x:c r="H22" s="38" t="str"/>
      <x:c r="I22" s="43"/>
      <x:c r="J22" s="2"/>
      <x:c r="K22" s="2"/>
      <x:c r="L22" s="2"/>
      <x:c r="M22" s="2"/>
      <x:c r="N22" s="2"/>
      <x:c r="O22" s="2"/>
      <x:c r="P22" s="2"/>
      <x:c r="Q22" s="2"/>
    </x:row>
    <x:row r="23" ht="28" customHeight="1">
      <x:c r="A23" s="42" t="str"/>
      <x:c r="B23" s="38" t="n">
        <x:v>1</x:v>
      </x:c>
      <x:c r="C23" s="38" t="n">
        <x:v>1</x:v>
      </x:c>
      <x:c r="D23" s="38" t="n">
        <x:v>1</x:v>
      </x:c>
      <x:c r="E23" s="48" t="n">
        <x:f>B23*C23*D23</x:f>
        <x:v>1</x:v>
      </x:c>
      <x:c r="F23" s="48" t="str">
        <x:f>IF(E23&gt;=32,"Critique",IF(E23&gt;=16,"Prioritaire","À suivre"))</x:f>
        <x:v>À suivre</x:v>
      </x:c>
      <x:c r="G23" s="38" t="str"/>
      <x:c r="H23" s="38" t="str"/>
      <x:c r="I23" s="43"/>
      <x:c r="J23" s="2"/>
      <x:c r="K23" s="2"/>
      <x:c r="L23" s="2"/>
      <x:c r="M23" s="2"/>
      <x:c r="N23" s="2"/>
      <x:c r="O23" s="2"/>
      <x:c r="P23" s="2"/>
      <x:c r="Q23" s="2"/>
    </x:row>
    <x:row r="24" ht="28" customHeight="1">
      <x:c r="A24" s="42" t="str"/>
      <x:c r="B24" s="38" t="n">
        <x:v>1</x:v>
      </x:c>
      <x:c r="C24" s="38" t="n">
        <x:v>1</x:v>
      </x:c>
      <x:c r="D24" s="38" t="n">
        <x:v>1</x:v>
      </x:c>
      <x:c r="E24" s="48" t="n">
        <x:f>B24*C24*D24</x:f>
        <x:v>1</x:v>
      </x:c>
      <x:c r="F24" s="48" t="str">
        <x:f>IF(E24&gt;=32,"Critique",IF(E24&gt;=16,"Prioritaire","À suivre"))</x:f>
        <x:v>À suivre</x:v>
      </x:c>
      <x:c r="G24" s="38" t="str"/>
      <x:c r="H24" s="38" t="str"/>
      <x:c r="I24" s="43"/>
      <x:c r="J24" s="2"/>
      <x:c r="K24" s="2"/>
      <x:c r="L24" s="2"/>
      <x:c r="M24" s="2"/>
      <x:c r="N24" s="2"/>
      <x:c r="O24" s="2"/>
      <x:c r="P24" s="2"/>
      <x:c r="Q24" s="2"/>
    </x:row>
    <x:row r="25" ht="28" customHeight="1">
      <x:c r="A25" s="42" t="str"/>
      <x:c r="B25" s="38" t="n">
        <x:v>1</x:v>
      </x:c>
      <x:c r="C25" s="38" t="n">
        <x:v>1</x:v>
      </x:c>
      <x:c r="D25" s="38" t="n">
        <x:v>1</x:v>
      </x:c>
      <x:c r="E25" s="48" t="n">
        <x:f>B25*C25*D25</x:f>
        <x:v>1</x:v>
      </x:c>
      <x:c r="F25" s="48" t="str">
        <x:f>IF(E25&gt;=32,"Critique",IF(E25&gt;=16,"Prioritaire","À suivre"))</x:f>
        <x:v>À suivre</x:v>
      </x:c>
      <x:c r="G25" s="38" t="str"/>
      <x:c r="H25" s="38" t="str"/>
      <x:c r="I25" s="43"/>
      <x:c r="J25" s="2"/>
      <x:c r="K25" s="2"/>
      <x:c r="L25" s="2"/>
      <x:c r="M25" s="2"/>
      <x:c r="N25" s="2"/>
      <x:c r="O25" s="2"/>
      <x:c r="P25" s="2"/>
      <x:c r="Q25" s="2"/>
    </x:row>
    <x:row r="26" ht="28" customHeight="1">
      <x:c r="A26" s="44" t="str"/>
      <x:c r="B26" s="45" t="n">
        <x:v>1</x:v>
      </x:c>
      <x:c r="C26" s="45" t="n">
        <x:v>1</x:v>
      </x:c>
      <x:c r="D26" s="45" t="n">
        <x:v>1</x:v>
      </x:c>
      <x:c r="E26" s="49" t="n">
        <x:f>B26*C26*D26</x:f>
        <x:v>1</x:v>
      </x:c>
      <x:c r="F26" s="49" t="str">
        <x:f>IF(E26&gt;=32,"Critique",IF(E26&gt;=16,"Prioritaire","À suivre"))</x:f>
        <x:v>À suivre</x:v>
      </x:c>
      <x:c r="G26" s="45" t="str"/>
      <x:c r="H26" s="45" t="str"/>
      <x:c r="I26" s="47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whole" operator="between" sqref="B7:D26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7A5D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15" hidden="0" customWidth="1"/>
    <x:col min="6" max="6" width="14" hidden="0" customWidth="1"/>
    <x:col min="7" max="7" width="34" hidden="0" customWidth="1"/>
    <x:col min="8" max="8" width="24" hidden="0" customWidth="1"/>
    <x:col min="9" max="9" width="28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Suivi températures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Renseigner le seuil approuvé par le site et la mesure. Le calcul ne fixe aucune valeur réglementaire.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Date</x:v>
      </x:c>
      <x:c r="B6" s="41" t="str">
        <x:v>Zone / équipement</x:v>
      </x:c>
      <x:c r="C6" s="41" t="str">
        <x:v>Produit / opération</x:v>
      </x:c>
      <x:c r="D6" s="41" t="str">
        <x:v>Seuil site (°C)</x:v>
      </x:c>
      <x:c r="E6" s="41" t="str">
        <x:v>Mesure (°C)</x:v>
      </x:c>
      <x:c r="F6" s="41" t="str">
        <x:v>Écart (°C)</x:v>
      </x:c>
      <x:c r="G6" s="41" t="str">
        <x:v>Décision immédiate</x:v>
      </x:c>
      <x:c r="H6" s="41" t="str">
        <x:v>Statut</x:v>
      </x:c>
      <x:c r="I6" s="41" t="str">
        <x:v>Lot / preuve</x:v>
      </x:c>
      <x:c r="J6" s="18" t="str">
        <x:v>Visa</x:v>
      </x:c>
      <x:c r="K6" s="2"/>
      <x:c r="L6" s="2"/>
      <x:c r="M6" s="2"/>
      <x:c r="N6" s="2"/>
      <x:c r="O6" s="2"/>
      <x:c r="P6" s="2"/>
      <x:c r="Q6" s="2"/>
    </x:row>
    <x:row r="7" ht="28" customHeight="1">
      <x:c r="A7" s="52"/>
      <x:c r="B7" s="38" t="str"/>
      <x:c r="C7" s="38" t="str"/>
      <x:c r="D7" s="38"/>
      <x:c r="E7" s="38"/>
      <x:c r="F7" s="48" t="str">
        <x:f>IF(OR(D7="",E7=""),"",E7-D7)</x:f>
      </x:c>
      <x:c r="G7" s="48" t="str"/>
      <x:c r="H7" s="48" t="str">
        <x:f>IF(OR(D7="",E7=""),"À renseigner",IF(ABS(F7)&gt;0,"Écart","Conforme au seuil saisi"))</x:f>
        <x:v>À renseigner</x:v>
      </x:c>
      <x:c r="I7" s="38" t="str"/>
      <x:c r="J7" s="53"/>
      <x:c r="K7" s="2"/>
      <x:c r="L7" s="2"/>
      <x:c r="M7" s="2"/>
      <x:c r="N7" s="2"/>
      <x:c r="O7" s="2"/>
      <x:c r="P7" s="2"/>
      <x:c r="Q7" s="2"/>
    </x:row>
    <x:row r="8" ht="28" customHeight="1">
      <x:c r="A8" s="52"/>
      <x:c r="B8" s="38" t="str"/>
      <x:c r="C8" s="38" t="str"/>
      <x:c r="D8" s="38"/>
      <x:c r="E8" s="38"/>
      <x:c r="F8" s="48" t="str">
        <x:f>IF(OR(D8="",E8=""),"",E8-D8)</x:f>
      </x:c>
      <x:c r="G8" s="48" t="str"/>
      <x:c r="H8" s="48" t="str">
        <x:f>IF(OR(D8="",E8=""),"À renseigner",IF(ABS(F8)&gt;0,"Écart","Conforme au seuil saisi"))</x:f>
        <x:v>À renseigner</x:v>
      </x:c>
      <x:c r="I8" s="38" t="str"/>
      <x:c r="J8" s="53"/>
      <x:c r="K8" s="2"/>
      <x:c r="L8" s="2"/>
      <x:c r="M8" s="2"/>
      <x:c r="N8" s="2"/>
      <x:c r="O8" s="2"/>
      <x:c r="P8" s="2"/>
      <x:c r="Q8" s="2"/>
    </x:row>
    <x:row r="9" ht="28" customHeight="1">
      <x:c r="A9" s="52"/>
      <x:c r="B9" s="38" t="str"/>
      <x:c r="C9" s="38" t="str"/>
      <x:c r="D9" s="38"/>
      <x:c r="E9" s="38"/>
      <x:c r="F9" s="48" t="str">
        <x:f>IF(OR(D9="",E9=""),"",E9-D9)</x:f>
      </x:c>
      <x:c r="G9" s="48" t="str"/>
      <x:c r="H9" s="48" t="str">
        <x:f>IF(OR(D9="",E9=""),"À renseigner",IF(ABS(F9)&gt;0,"Écart","Conforme au seuil saisi"))</x:f>
        <x:v>À renseigner</x:v>
      </x:c>
      <x:c r="I9" s="38" t="str"/>
      <x:c r="J9" s="53"/>
      <x:c r="K9" s="2"/>
      <x:c r="L9" s="2"/>
      <x:c r="M9" s="2"/>
      <x:c r="N9" s="2"/>
      <x:c r="O9" s="2"/>
      <x:c r="P9" s="2"/>
      <x:c r="Q9" s="2"/>
    </x:row>
    <x:row r="10" ht="28" customHeight="1">
      <x:c r="A10" s="52"/>
      <x:c r="B10" s="38" t="str"/>
      <x:c r="C10" s="38" t="str"/>
      <x:c r="D10" s="38"/>
      <x:c r="E10" s="38"/>
      <x:c r="F10" s="48" t="str">
        <x:f>IF(OR(D10="",E10=""),"",E10-D10)</x:f>
      </x:c>
      <x:c r="G10" s="48" t="str"/>
      <x:c r="H10" s="48" t="str">
        <x:f>IF(OR(D10="",E10=""),"À renseigner",IF(ABS(F10)&gt;0,"Écart","Conforme au seuil saisi"))</x:f>
        <x:v>À renseigner</x:v>
      </x:c>
      <x:c r="I10" s="38" t="str"/>
      <x:c r="J10" s="53"/>
      <x:c r="K10" s="2"/>
      <x:c r="L10" s="2"/>
      <x:c r="M10" s="2"/>
      <x:c r="N10" s="2"/>
      <x:c r="O10" s="2"/>
      <x:c r="P10" s="2"/>
      <x:c r="Q10" s="2"/>
    </x:row>
    <x:row r="11" ht="28" customHeight="1">
      <x:c r="A11" s="52"/>
      <x:c r="B11" s="38" t="str"/>
      <x:c r="C11" s="38" t="str"/>
      <x:c r="D11" s="38"/>
      <x:c r="E11" s="38"/>
      <x:c r="F11" s="48" t="str">
        <x:f>IF(OR(D11="",E11=""),"",E11-D11)</x:f>
      </x:c>
      <x:c r="G11" s="48" t="str"/>
      <x:c r="H11" s="48" t="str">
        <x:f>IF(OR(D11="",E11=""),"À renseigner",IF(ABS(F11)&gt;0,"Écart","Conforme au seuil saisi"))</x:f>
        <x:v>À renseigner</x:v>
      </x:c>
      <x:c r="I11" s="38" t="str"/>
      <x:c r="J11" s="53"/>
      <x:c r="K11" s="2"/>
      <x:c r="L11" s="2"/>
      <x:c r="M11" s="2"/>
      <x:c r="N11" s="2"/>
      <x:c r="O11" s="2"/>
      <x:c r="P11" s="2"/>
      <x:c r="Q11" s="2"/>
    </x:row>
    <x:row r="12" ht="28" customHeight="1">
      <x:c r="A12" s="52"/>
      <x:c r="B12" s="38" t="str"/>
      <x:c r="C12" s="38" t="str"/>
      <x:c r="D12" s="38"/>
      <x:c r="E12" s="38"/>
      <x:c r="F12" s="48" t="str">
        <x:f>IF(OR(D12="",E12=""),"",E12-D12)</x:f>
      </x:c>
      <x:c r="G12" s="48" t="str"/>
      <x:c r="H12" s="48" t="str">
        <x:f>IF(OR(D12="",E12=""),"À renseigner",IF(ABS(F12)&gt;0,"Écart","Conforme au seuil saisi"))</x:f>
        <x:v>À renseigner</x:v>
      </x:c>
      <x:c r="I12" s="38" t="str"/>
      <x:c r="J12" s="53"/>
      <x:c r="K12" s="2"/>
      <x:c r="L12" s="2"/>
      <x:c r="M12" s="2"/>
      <x:c r="N12" s="2"/>
      <x:c r="O12" s="2"/>
      <x:c r="P12" s="2"/>
      <x:c r="Q12" s="2"/>
    </x:row>
    <x:row r="13" ht="28" customHeight="1">
      <x:c r="A13" s="52"/>
      <x:c r="B13" s="38" t="str"/>
      <x:c r="C13" s="38" t="str"/>
      <x:c r="D13" s="38"/>
      <x:c r="E13" s="38"/>
      <x:c r="F13" s="48" t="str">
        <x:f>IF(OR(D13="",E13=""),"",E13-D13)</x:f>
      </x:c>
      <x:c r="G13" s="48" t="str"/>
      <x:c r="H13" s="48" t="str">
        <x:f>IF(OR(D13="",E13=""),"À renseigner",IF(ABS(F13)&gt;0,"Écart","Conforme au seuil saisi"))</x:f>
        <x:v>À renseigner</x:v>
      </x:c>
      <x:c r="I13" s="38" t="str"/>
      <x:c r="J13" s="53"/>
      <x:c r="K13" s="2"/>
      <x:c r="L13" s="2"/>
      <x:c r="M13" s="2"/>
      <x:c r="N13" s="2"/>
      <x:c r="O13" s="2"/>
      <x:c r="P13" s="2"/>
      <x:c r="Q13" s="2"/>
    </x:row>
    <x:row r="14" ht="28" customHeight="1">
      <x:c r="A14" s="52"/>
      <x:c r="B14" s="38" t="str"/>
      <x:c r="C14" s="38" t="str"/>
      <x:c r="D14" s="38"/>
      <x:c r="E14" s="38"/>
      <x:c r="F14" s="48" t="str">
        <x:f>IF(OR(D14="",E14=""),"",E14-D14)</x:f>
      </x:c>
      <x:c r="G14" s="48" t="str"/>
      <x:c r="H14" s="48" t="str">
        <x:f>IF(OR(D14="",E14=""),"À renseigner",IF(ABS(F14)&gt;0,"Écart","Conforme au seuil saisi"))</x:f>
        <x:v>À renseigner</x:v>
      </x:c>
      <x:c r="I14" s="38" t="str"/>
      <x:c r="J14" s="53"/>
      <x:c r="K14" s="2"/>
      <x:c r="L14" s="2"/>
      <x:c r="M14" s="2"/>
      <x:c r="N14" s="2"/>
      <x:c r="O14" s="2"/>
      <x:c r="P14" s="2"/>
      <x:c r="Q14" s="2"/>
    </x:row>
    <x:row r="15" ht="28" customHeight="1">
      <x:c r="A15" s="52"/>
      <x:c r="B15" s="38" t="str"/>
      <x:c r="C15" s="38" t="str"/>
      <x:c r="D15" s="38"/>
      <x:c r="E15" s="38"/>
      <x:c r="F15" s="48" t="str">
        <x:f>IF(OR(D15="",E15=""),"",E15-D15)</x:f>
      </x:c>
      <x:c r="G15" s="48" t="str"/>
      <x:c r="H15" s="48" t="str">
        <x:f>IF(OR(D15="",E15=""),"À renseigner",IF(ABS(F15)&gt;0,"Écart","Conforme au seuil saisi"))</x:f>
        <x:v>À renseigner</x:v>
      </x:c>
      <x:c r="I15" s="38" t="str"/>
      <x:c r="J15" s="53"/>
      <x:c r="K15" s="2"/>
      <x:c r="L15" s="2"/>
      <x:c r="M15" s="2"/>
      <x:c r="N15" s="2"/>
      <x:c r="O15" s="2"/>
      <x:c r="P15" s="2"/>
      <x:c r="Q15" s="2"/>
    </x:row>
    <x:row r="16" ht="28" customHeight="1">
      <x:c r="A16" s="52"/>
      <x:c r="B16" s="38" t="str"/>
      <x:c r="C16" s="38" t="str"/>
      <x:c r="D16" s="38"/>
      <x:c r="E16" s="38"/>
      <x:c r="F16" s="48" t="str">
        <x:f>IF(OR(D16="",E16=""),"",E16-D16)</x:f>
      </x:c>
      <x:c r="G16" s="48" t="str"/>
      <x:c r="H16" s="48" t="str">
        <x:f>IF(OR(D16="",E16=""),"À renseigner",IF(ABS(F16)&gt;0,"Écart","Conforme au seuil saisi"))</x:f>
        <x:v>À renseigner</x:v>
      </x:c>
      <x:c r="I16" s="38" t="str"/>
      <x:c r="J16" s="53"/>
      <x:c r="K16" s="2"/>
      <x:c r="L16" s="2"/>
      <x:c r="M16" s="2"/>
      <x:c r="N16" s="2"/>
      <x:c r="O16" s="2"/>
      <x:c r="P16" s="2"/>
      <x:c r="Q16" s="2"/>
    </x:row>
    <x:row r="17" ht="28" customHeight="1">
      <x:c r="A17" s="52"/>
      <x:c r="B17" s="38" t="str"/>
      <x:c r="C17" s="38" t="str"/>
      <x:c r="D17" s="38"/>
      <x:c r="E17" s="38"/>
      <x:c r="F17" s="48" t="str">
        <x:f>IF(OR(D17="",E17=""),"",E17-D17)</x:f>
      </x:c>
      <x:c r="G17" s="48" t="str"/>
      <x:c r="H17" s="48" t="str">
        <x:f>IF(OR(D17="",E17=""),"À renseigner",IF(ABS(F17)&gt;0,"Écart","Conforme au seuil saisi"))</x:f>
        <x:v>À renseigner</x:v>
      </x:c>
      <x:c r="I17" s="38" t="str"/>
      <x:c r="J17" s="53"/>
      <x:c r="K17" s="2"/>
      <x:c r="L17" s="2"/>
      <x:c r="M17" s="2"/>
      <x:c r="N17" s="2"/>
      <x:c r="O17" s="2"/>
      <x:c r="P17" s="2"/>
      <x:c r="Q17" s="2"/>
    </x:row>
    <x:row r="18" ht="28" customHeight="1">
      <x:c r="A18" s="52"/>
      <x:c r="B18" s="38" t="str"/>
      <x:c r="C18" s="38" t="str"/>
      <x:c r="D18" s="38"/>
      <x:c r="E18" s="38"/>
      <x:c r="F18" s="48" t="str">
        <x:f>IF(OR(D18="",E18=""),"",E18-D18)</x:f>
      </x:c>
      <x:c r="G18" s="48" t="str"/>
      <x:c r="H18" s="48" t="str">
        <x:f>IF(OR(D18="",E18=""),"À renseigner",IF(ABS(F18)&gt;0,"Écart","Conforme au seuil saisi"))</x:f>
        <x:v>À renseigner</x:v>
      </x:c>
      <x:c r="I18" s="38" t="str"/>
      <x:c r="J18" s="53"/>
      <x:c r="K18" s="2"/>
      <x:c r="L18" s="2"/>
      <x:c r="M18" s="2"/>
      <x:c r="N18" s="2"/>
      <x:c r="O18" s="2"/>
      <x:c r="P18" s="2"/>
      <x:c r="Q18" s="2"/>
    </x:row>
    <x:row r="19" ht="28" customHeight="1">
      <x:c r="A19" s="52"/>
      <x:c r="B19" s="38" t="str"/>
      <x:c r="C19" s="38" t="str"/>
      <x:c r="D19" s="38"/>
      <x:c r="E19" s="38"/>
      <x:c r="F19" s="48" t="str">
        <x:f>IF(OR(D19="",E19=""),"",E19-D19)</x:f>
      </x:c>
      <x:c r="G19" s="48" t="str"/>
      <x:c r="H19" s="48" t="str">
        <x:f>IF(OR(D19="",E19=""),"À renseigner",IF(ABS(F19)&gt;0,"Écart","Conforme au seuil saisi"))</x:f>
        <x:v>À renseigner</x:v>
      </x:c>
      <x:c r="I19" s="38" t="str"/>
      <x:c r="J19" s="53"/>
      <x:c r="K19" s="2"/>
      <x:c r="L19" s="2"/>
      <x:c r="M19" s="2"/>
      <x:c r="N19" s="2"/>
      <x:c r="O19" s="2"/>
      <x:c r="P19" s="2"/>
      <x:c r="Q19" s="2"/>
    </x:row>
    <x:row r="20" ht="28" customHeight="1">
      <x:c r="A20" s="52"/>
      <x:c r="B20" s="38" t="str"/>
      <x:c r="C20" s="38" t="str"/>
      <x:c r="D20" s="38"/>
      <x:c r="E20" s="38"/>
      <x:c r="F20" s="48" t="str">
        <x:f>IF(OR(D20="",E20=""),"",E20-D20)</x:f>
      </x:c>
      <x:c r="G20" s="48" t="str"/>
      <x:c r="H20" s="48" t="str">
        <x:f>IF(OR(D20="",E20=""),"À renseigner",IF(ABS(F20)&gt;0,"Écart","Conforme au seuil saisi"))</x:f>
        <x:v>À renseigner</x:v>
      </x:c>
      <x:c r="I20" s="38" t="str"/>
      <x:c r="J20" s="53"/>
      <x:c r="K20" s="2"/>
      <x:c r="L20" s="2"/>
      <x:c r="M20" s="2"/>
      <x:c r="N20" s="2"/>
      <x:c r="O20" s="2"/>
      <x:c r="P20" s="2"/>
      <x:c r="Q20" s="2"/>
    </x:row>
    <x:row r="21" ht="28" customHeight="1">
      <x:c r="A21" s="52"/>
      <x:c r="B21" s="38" t="str"/>
      <x:c r="C21" s="38" t="str"/>
      <x:c r="D21" s="38"/>
      <x:c r="E21" s="38"/>
      <x:c r="F21" s="48" t="str">
        <x:f>IF(OR(D21="",E21=""),"",E21-D21)</x:f>
      </x:c>
      <x:c r="G21" s="48" t="str"/>
      <x:c r="H21" s="48" t="str">
        <x:f>IF(OR(D21="",E21=""),"À renseigner",IF(ABS(F21)&gt;0,"Écart","Conforme au seuil saisi"))</x:f>
        <x:v>À renseigner</x:v>
      </x:c>
      <x:c r="I21" s="38" t="str"/>
      <x:c r="J21" s="53"/>
      <x:c r="K21" s="2"/>
      <x:c r="L21" s="2"/>
      <x:c r="M21" s="2"/>
      <x:c r="N21" s="2"/>
      <x:c r="O21" s="2"/>
      <x:c r="P21" s="2"/>
      <x:c r="Q21" s="2"/>
    </x:row>
    <x:row r="22" ht="28" customHeight="1">
      <x:c r="A22" s="52"/>
      <x:c r="B22" s="38" t="str"/>
      <x:c r="C22" s="38" t="str"/>
      <x:c r="D22" s="38"/>
      <x:c r="E22" s="38"/>
      <x:c r="F22" s="48" t="str">
        <x:f>IF(OR(D22="",E22=""),"",E22-D22)</x:f>
      </x:c>
      <x:c r="G22" s="48" t="str"/>
      <x:c r="H22" s="48" t="str">
        <x:f>IF(OR(D22="",E22=""),"À renseigner",IF(ABS(F22)&gt;0,"Écart","Conforme au seuil saisi"))</x:f>
        <x:v>À renseigner</x:v>
      </x:c>
      <x:c r="I22" s="38" t="str"/>
      <x:c r="J22" s="53"/>
      <x:c r="K22" s="2"/>
      <x:c r="L22" s="2"/>
      <x:c r="M22" s="2"/>
      <x:c r="N22" s="2"/>
      <x:c r="O22" s="2"/>
      <x:c r="P22" s="2"/>
      <x:c r="Q22" s="2"/>
    </x:row>
    <x:row r="23" ht="28" customHeight="1">
      <x:c r="A23" s="52"/>
      <x:c r="B23" s="38" t="str"/>
      <x:c r="C23" s="38" t="str"/>
      <x:c r="D23" s="38"/>
      <x:c r="E23" s="38"/>
      <x:c r="F23" s="48" t="str">
        <x:f>IF(OR(D23="",E23=""),"",E23-D23)</x:f>
      </x:c>
      <x:c r="G23" s="48" t="str"/>
      <x:c r="H23" s="48" t="str">
        <x:f>IF(OR(D23="",E23=""),"À renseigner",IF(ABS(F23)&gt;0,"Écart","Conforme au seuil saisi"))</x:f>
        <x:v>À renseigner</x:v>
      </x:c>
      <x:c r="I23" s="38" t="str"/>
      <x:c r="J23" s="53"/>
      <x:c r="K23" s="2"/>
      <x:c r="L23" s="2"/>
      <x:c r="M23" s="2"/>
      <x:c r="N23" s="2"/>
      <x:c r="O23" s="2"/>
      <x:c r="P23" s="2"/>
      <x:c r="Q23" s="2"/>
    </x:row>
    <x:row r="24" ht="28" customHeight="1">
      <x:c r="A24" s="52"/>
      <x:c r="B24" s="38" t="str"/>
      <x:c r="C24" s="38" t="str"/>
      <x:c r="D24" s="38"/>
      <x:c r="E24" s="38"/>
      <x:c r="F24" s="48" t="str">
        <x:f>IF(OR(D24="",E24=""),"",E24-D24)</x:f>
      </x:c>
      <x:c r="G24" s="48" t="str"/>
      <x:c r="H24" s="48" t="str">
        <x:f>IF(OR(D24="",E24=""),"À renseigner",IF(ABS(F24)&gt;0,"Écart","Conforme au seuil saisi"))</x:f>
        <x:v>À renseigner</x:v>
      </x:c>
      <x:c r="I24" s="38" t="str"/>
      <x:c r="J24" s="53"/>
      <x:c r="K24" s="2"/>
      <x:c r="L24" s="2"/>
      <x:c r="M24" s="2"/>
      <x:c r="N24" s="2"/>
      <x:c r="O24" s="2"/>
      <x:c r="P24" s="2"/>
      <x:c r="Q24" s="2"/>
    </x:row>
    <x:row r="25" ht="28" customHeight="1">
      <x:c r="A25" s="52"/>
      <x:c r="B25" s="38" t="str"/>
      <x:c r="C25" s="38" t="str"/>
      <x:c r="D25" s="38"/>
      <x:c r="E25" s="38"/>
      <x:c r="F25" s="48" t="str">
        <x:f>IF(OR(D25="",E25=""),"",E25-D25)</x:f>
      </x:c>
      <x:c r="G25" s="48" t="str"/>
      <x:c r="H25" s="48" t="str">
        <x:f>IF(OR(D25="",E25=""),"À renseigner",IF(ABS(F25)&gt;0,"Écart","Conforme au seuil saisi"))</x:f>
        <x:v>À renseigner</x:v>
      </x:c>
      <x:c r="I25" s="38" t="str"/>
      <x:c r="J25" s="53"/>
      <x:c r="K25" s="2"/>
      <x:c r="L25" s="2"/>
      <x:c r="M25" s="2"/>
      <x:c r="N25" s="2"/>
      <x:c r="O25" s="2"/>
      <x:c r="P25" s="2"/>
      <x:c r="Q25" s="2"/>
    </x:row>
    <x:row r="26" ht="28" customHeight="1">
      <x:c r="A26" s="52"/>
      <x:c r="B26" s="38" t="str"/>
      <x:c r="C26" s="38" t="str"/>
      <x:c r="D26" s="38"/>
      <x:c r="E26" s="38"/>
      <x:c r="F26" s="48" t="str">
        <x:f>IF(OR(D26="",E26=""),"",E26-D26)</x:f>
      </x:c>
      <x:c r="G26" s="48" t="str"/>
      <x:c r="H26" s="48" t="str">
        <x:f>IF(OR(D26="",E26=""),"À renseigner",IF(ABS(F26)&gt;0,"Écart","Conforme au seuil saisi"))</x:f>
        <x:v>À renseigner</x:v>
      </x:c>
      <x:c r="I26" s="38" t="str"/>
      <x:c r="J26" s="53"/>
      <x:c r="K26" s="2"/>
      <x:c r="L26" s="2"/>
      <x:c r="M26" s="2"/>
      <x:c r="N26" s="2"/>
      <x:c r="O26" s="2"/>
      <x:c r="P26" s="2"/>
      <x:c r="Q26" s="2"/>
    </x:row>
    <x:row r="27" ht="28" customHeight="1">
      <x:c r="A27" s="52"/>
      <x:c r="B27" s="38" t="str"/>
      <x:c r="C27" s="38" t="str"/>
      <x:c r="D27" s="38"/>
      <x:c r="E27" s="38"/>
      <x:c r="F27" s="48" t="str">
        <x:f>IF(OR(D27="",E27=""),"",E27-D27)</x:f>
      </x:c>
      <x:c r="G27" s="48" t="str"/>
      <x:c r="H27" s="48" t="str">
        <x:f>IF(OR(D27="",E27=""),"À renseigner",IF(ABS(F27)&gt;0,"Écart","Conforme au seuil saisi"))</x:f>
        <x:v>À renseigner</x:v>
      </x:c>
      <x:c r="I27" s="38" t="str"/>
      <x:c r="J27" s="53"/>
      <x:c r="K27" s="2"/>
      <x:c r="L27" s="2"/>
      <x:c r="M27" s="2"/>
      <x:c r="N27" s="2"/>
      <x:c r="O27" s="2"/>
      <x:c r="P27" s="2"/>
      <x:c r="Q27" s="2"/>
    </x:row>
    <x:row r="28" ht="28" customHeight="1">
      <x:c r="A28" s="52"/>
      <x:c r="B28" s="38" t="str"/>
      <x:c r="C28" s="38" t="str"/>
      <x:c r="D28" s="38"/>
      <x:c r="E28" s="38"/>
      <x:c r="F28" s="48" t="str">
        <x:f>IF(OR(D28="",E28=""),"",E28-D28)</x:f>
      </x:c>
      <x:c r="G28" s="48" t="str"/>
      <x:c r="H28" s="48" t="str">
        <x:f>IF(OR(D28="",E28=""),"À renseigner",IF(ABS(F28)&gt;0,"Écart","Conforme au seuil saisi"))</x:f>
        <x:v>À renseigner</x:v>
      </x:c>
      <x:c r="I28" s="38" t="str"/>
      <x:c r="J28" s="53"/>
      <x:c r="K28" s="2"/>
      <x:c r="L28" s="2"/>
      <x:c r="M28" s="2"/>
      <x:c r="N28" s="2"/>
      <x:c r="O28" s="2"/>
      <x:c r="P28" s="2"/>
      <x:c r="Q28" s="2"/>
    </x:row>
    <x:row r="29" ht="28" customHeight="1">
      <x:c r="A29" s="52"/>
      <x:c r="B29" s="38" t="str"/>
      <x:c r="C29" s="38" t="str"/>
      <x:c r="D29" s="38"/>
      <x:c r="E29" s="38"/>
      <x:c r="F29" s="48" t="str">
        <x:f>IF(OR(D29="",E29=""),"",E29-D29)</x:f>
      </x:c>
      <x:c r="G29" s="48" t="str"/>
      <x:c r="H29" s="48" t="str">
        <x:f>IF(OR(D29="",E29=""),"À renseigner",IF(ABS(F29)&gt;0,"Écart","Conforme au seuil saisi"))</x:f>
        <x:v>À renseigner</x:v>
      </x:c>
      <x:c r="I29" s="38" t="str"/>
      <x:c r="J29" s="53"/>
      <x:c r="K29" s="2"/>
      <x:c r="L29" s="2"/>
      <x:c r="M29" s="2"/>
      <x:c r="N29" s="2"/>
      <x:c r="O29" s="2"/>
      <x:c r="P29" s="2"/>
      <x:c r="Q29" s="2"/>
    </x:row>
    <x:row r="30" ht="28" customHeight="1">
      <x:c r="A30" s="52"/>
      <x:c r="B30" s="38" t="str"/>
      <x:c r="C30" s="38" t="str"/>
      <x:c r="D30" s="38"/>
      <x:c r="E30" s="38"/>
      <x:c r="F30" s="48" t="str">
        <x:f>IF(OR(D30="",E30=""),"",E30-D30)</x:f>
      </x:c>
      <x:c r="G30" s="48" t="str"/>
      <x:c r="H30" s="48" t="str">
        <x:f>IF(OR(D30="",E30=""),"À renseigner",IF(ABS(F30)&gt;0,"Écart","Conforme au seuil saisi"))</x:f>
        <x:v>À renseigner</x:v>
      </x:c>
      <x:c r="I30" s="38" t="str"/>
      <x:c r="J30" s="53"/>
      <x:c r="K30" s="2"/>
      <x:c r="L30" s="2"/>
      <x:c r="M30" s="2"/>
      <x:c r="N30" s="2"/>
      <x:c r="O30" s="2"/>
      <x:c r="P30" s="2"/>
      <x:c r="Q30" s="2"/>
    </x:row>
    <x:row r="31" ht="28" customHeight="1">
      <x:c r="A31" s="52"/>
      <x:c r="B31" s="38" t="str"/>
      <x:c r="C31" s="38" t="str"/>
      <x:c r="D31" s="38"/>
      <x:c r="E31" s="38"/>
      <x:c r="F31" s="48" t="str">
        <x:f>IF(OR(D31="",E31=""),"",E31-D31)</x:f>
      </x:c>
      <x:c r="G31" s="48" t="str"/>
      <x:c r="H31" s="48" t="str">
        <x:f>IF(OR(D31="",E31=""),"À renseigner",IF(ABS(F31)&gt;0,"Écart","Conforme au seuil saisi"))</x:f>
        <x:v>À renseigner</x:v>
      </x:c>
      <x:c r="I31" s="38" t="str"/>
      <x:c r="J31" s="53"/>
      <x:c r="K31" s="2"/>
      <x:c r="L31" s="2"/>
      <x:c r="M31" s="2"/>
      <x:c r="N31" s="2"/>
      <x:c r="O31" s="2"/>
      <x:c r="P31" s="2"/>
      <x:c r="Q31" s="2"/>
    </x:row>
    <x:row r="32" ht="28" customHeight="1">
      <x:c r="A32" s="52"/>
      <x:c r="B32" s="38" t="str"/>
      <x:c r="C32" s="38" t="str"/>
      <x:c r="D32" s="38"/>
      <x:c r="E32" s="38"/>
      <x:c r="F32" s="48" t="str">
        <x:f>IF(OR(D32="",E32=""),"",E32-D32)</x:f>
      </x:c>
      <x:c r="G32" s="48" t="str"/>
      <x:c r="H32" s="48" t="str">
        <x:f>IF(OR(D32="",E32=""),"À renseigner",IF(ABS(F32)&gt;0,"Écart","Conforme au seuil saisi"))</x:f>
        <x:v>À renseigner</x:v>
      </x:c>
      <x:c r="I32" s="38" t="str"/>
      <x:c r="J32" s="53"/>
      <x:c r="K32" s="2"/>
      <x:c r="L32" s="2"/>
      <x:c r="M32" s="2"/>
      <x:c r="N32" s="2"/>
      <x:c r="O32" s="2"/>
      <x:c r="P32" s="2"/>
      <x:c r="Q32" s="2"/>
    </x:row>
    <x:row r="33" ht="28" customHeight="1">
      <x:c r="A33" s="52"/>
      <x:c r="B33" s="38" t="str"/>
      <x:c r="C33" s="38" t="str"/>
      <x:c r="D33" s="38"/>
      <x:c r="E33" s="38"/>
      <x:c r="F33" s="48" t="str">
        <x:f>IF(OR(D33="",E33=""),"",E33-D33)</x:f>
      </x:c>
      <x:c r="G33" s="48" t="str"/>
      <x:c r="H33" s="48" t="str">
        <x:f>IF(OR(D33="",E33=""),"À renseigner",IF(ABS(F33)&gt;0,"Écart","Conforme au seuil saisi"))</x:f>
        <x:v>À renseigner</x:v>
      </x:c>
      <x:c r="I33" s="38" t="str"/>
      <x:c r="J33" s="53"/>
      <x:c r="K33" s="2"/>
      <x:c r="L33" s="2"/>
      <x:c r="M33" s="2"/>
      <x:c r="N33" s="2"/>
      <x:c r="O33" s="2"/>
      <x:c r="P33" s="2"/>
      <x:c r="Q33" s="2"/>
    </x:row>
    <x:row r="34" ht="28" customHeight="1">
      <x:c r="A34" s="52"/>
      <x:c r="B34" s="38" t="str"/>
      <x:c r="C34" s="38" t="str"/>
      <x:c r="D34" s="38"/>
      <x:c r="E34" s="38"/>
      <x:c r="F34" s="48" t="str">
        <x:f>IF(OR(D34="",E34=""),"",E34-D34)</x:f>
      </x:c>
      <x:c r="G34" s="48" t="str"/>
      <x:c r="H34" s="48" t="str">
        <x:f>IF(OR(D34="",E34=""),"À renseigner",IF(ABS(F34)&gt;0,"Écart","Conforme au seuil saisi"))</x:f>
        <x:v>À renseigner</x:v>
      </x:c>
      <x:c r="I34" s="38" t="str"/>
      <x:c r="J34" s="53"/>
      <x:c r="K34" s="2"/>
      <x:c r="L34" s="2"/>
      <x:c r="M34" s="2"/>
      <x:c r="N34" s="2"/>
      <x:c r="O34" s="2"/>
      <x:c r="P34" s="2"/>
      <x:c r="Q34" s="2"/>
    </x:row>
    <x:row r="35" ht="28" customHeight="1">
      <x:c r="A35" s="52"/>
      <x:c r="B35" s="38" t="str"/>
      <x:c r="C35" s="38" t="str"/>
      <x:c r="D35" s="38"/>
      <x:c r="E35" s="38"/>
      <x:c r="F35" s="48" t="str">
        <x:f>IF(OR(D35="",E35=""),"",E35-D35)</x:f>
      </x:c>
      <x:c r="G35" s="48" t="str"/>
      <x:c r="H35" s="48" t="str">
        <x:f>IF(OR(D35="",E35=""),"À renseigner",IF(ABS(F35)&gt;0,"Écart","Conforme au seuil saisi"))</x:f>
        <x:v>À renseigner</x:v>
      </x:c>
      <x:c r="I35" s="38" t="str"/>
      <x:c r="J35" s="53"/>
      <x:c r="K35" s="2"/>
      <x:c r="L35" s="2"/>
      <x:c r="M35" s="2"/>
      <x:c r="N35" s="2"/>
      <x:c r="O35" s="2"/>
      <x:c r="P35" s="2"/>
      <x:c r="Q35" s="2"/>
    </x:row>
    <x:row r="36" ht="28" customHeight="1">
      <x:c r="A36" s="54"/>
      <x:c r="B36" s="45" t="str"/>
      <x:c r="C36" s="45" t="str"/>
      <x:c r="D36" s="45"/>
      <x:c r="E36" s="45"/>
      <x:c r="F36" s="49" t="str">
        <x:f>IF(OR(D36="",E36=""),"",E36-D36)</x:f>
      </x:c>
      <x:c r="G36" s="49" t="str"/>
      <x:c r="H36" s="49" t="str">
        <x:f>IF(OR(D36="",E36=""),"À renseigner",IF(ABS(F36)&gt;0,"Écart","Conforme au seuil saisi"))</x:f>
        <x:v>À renseigner</x:v>
      </x:c>
      <x:c r="I36" s="45" t="str"/>
      <x:c r="J36" s="55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3B6E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30" hidden="0" customWidth="1"/>
    <x:col min="4" max="4" width="22" hidden="0" customWidth="1"/>
    <x:col min="5" max="5" width="24" hidden="0" customWidth="1"/>
    <x:col min="6" max="6" width="18" hidden="0" customWidth="1"/>
    <x:col min="7" max="7" width="24" hidden="0" customWidth="1"/>
    <x:col min="8" max="8" width="22" hidden="0" customWidth="1"/>
    <x:col min="9" max="9" width="35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Grille de réception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Vérifier selon les critères, seuils et procédures applicables au produit et au site.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Date</x:v>
      </x:c>
      <x:c r="B6" s="41" t="str">
        <x:v>Fournisseur</x:v>
      </x:c>
      <x:c r="C6" s="41" t="str">
        <x:v>Produit</x:v>
      </x:c>
      <x:c r="D6" s="41" t="str">
        <x:v>Lot / DLC</x:v>
      </x:c>
      <x:c r="E6" s="41" t="str">
        <x:v>État colis</x:v>
      </x:c>
      <x:c r="F6" s="41" t="str">
        <x:v>Température mesurée</x:v>
      </x:c>
      <x:c r="G6" s="41" t="str">
        <x:v>Critère site</x:v>
      </x:c>
      <x:c r="H6" s="41" t="str">
        <x:v>Décision</x:v>
      </x:c>
      <x:c r="I6" s="41" t="str">
        <x:v>Action si écart</x:v>
      </x:c>
      <x:c r="J6" s="18" t="str">
        <x:v>Visa</x:v>
      </x:c>
      <x:c r="K6" s="2"/>
      <x:c r="L6" s="2"/>
      <x:c r="M6" s="2"/>
      <x:c r="N6" s="2"/>
      <x:c r="O6" s="2"/>
      <x:c r="P6" s="2"/>
      <x:c r="Q6" s="2"/>
    </x:row>
    <x:row r="7" ht="28" customHeight="1">
      <x:c r="A7" s="52"/>
      <x:c r="B7" s="38" t="str"/>
      <x:c r="C7" s="38" t="str"/>
      <x:c r="D7" s="38" t="str"/>
      <x:c r="E7" s="38" t="str"/>
      <x:c r="F7" s="38" t="str"/>
      <x:c r="G7" s="38" t="str"/>
      <x:c r="H7" s="38" t="str">
        <x:v>À décider</x:v>
      </x:c>
      <x:c r="I7" s="38" t="str"/>
      <x:c r="J7" s="53" t="str"/>
      <x:c r="K7" s="2"/>
      <x:c r="L7" s="2"/>
      <x:c r="M7" s="2"/>
      <x:c r="N7" s="2"/>
      <x:c r="O7" s="2"/>
      <x:c r="P7" s="2"/>
      <x:c r="Q7" s="2"/>
    </x:row>
    <x:row r="8" ht="28" customHeight="1">
      <x:c r="A8" s="52"/>
      <x:c r="B8" s="38" t="str"/>
      <x:c r="C8" s="38" t="str"/>
      <x:c r="D8" s="38" t="str"/>
      <x:c r="E8" s="38" t="str"/>
      <x:c r="F8" s="38" t="str"/>
      <x:c r="G8" s="38" t="str"/>
      <x:c r="H8" s="38" t="str">
        <x:v>À décider</x:v>
      </x:c>
      <x:c r="I8" s="38" t="str"/>
      <x:c r="J8" s="53" t="str"/>
      <x:c r="K8" s="2"/>
      <x:c r="L8" s="2"/>
      <x:c r="M8" s="2"/>
      <x:c r="N8" s="2"/>
      <x:c r="O8" s="2"/>
      <x:c r="P8" s="2"/>
      <x:c r="Q8" s="2"/>
    </x:row>
    <x:row r="9" ht="28" customHeight="1">
      <x:c r="A9" s="52"/>
      <x:c r="B9" s="38" t="str"/>
      <x:c r="C9" s="38" t="str"/>
      <x:c r="D9" s="38" t="str"/>
      <x:c r="E9" s="38" t="str"/>
      <x:c r="F9" s="38" t="str"/>
      <x:c r="G9" s="38" t="str"/>
      <x:c r="H9" s="38" t="str">
        <x:v>À décider</x:v>
      </x:c>
      <x:c r="I9" s="38" t="str"/>
      <x:c r="J9" s="53" t="str"/>
      <x:c r="K9" s="2"/>
      <x:c r="L9" s="2"/>
      <x:c r="M9" s="2"/>
      <x:c r="N9" s="2"/>
      <x:c r="O9" s="2"/>
      <x:c r="P9" s="2"/>
      <x:c r="Q9" s="2"/>
    </x:row>
    <x:row r="10" ht="28" customHeight="1">
      <x:c r="A10" s="52"/>
      <x:c r="B10" s="38" t="str"/>
      <x:c r="C10" s="38" t="str"/>
      <x:c r="D10" s="38" t="str"/>
      <x:c r="E10" s="38" t="str"/>
      <x:c r="F10" s="38" t="str"/>
      <x:c r="G10" s="38" t="str"/>
      <x:c r="H10" s="38" t="str">
        <x:v>À décider</x:v>
      </x:c>
      <x:c r="I10" s="38" t="str"/>
      <x:c r="J10" s="53" t="str"/>
      <x:c r="K10" s="2"/>
      <x:c r="L10" s="2"/>
      <x:c r="M10" s="2"/>
      <x:c r="N10" s="2"/>
      <x:c r="O10" s="2"/>
      <x:c r="P10" s="2"/>
      <x:c r="Q10" s="2"/>
    </x:row>
    <x:row r="11" ht="28" customHeight="1">
      <x:c r="A11" s="52"/>
      <x:c r="B11" s="38" t="str"/>
      <x:c r="C11" s="38" t="str"/>
      <x:c r="D11" s="38" t="str"/>
      <x:c r="E11" s="38" t="str"/>
      <x:c r="F11" s="38" t="str"/>
      <x:c r="G11" s="38" t="str"/>
      <x:c r="H11" s="38" t="str">
        <x:v>À décider</x:v>
      </x:c>
      <x:c r="I11" s="38" t="str"/>
      <x:c r="J11" s="53" t="str"/>
      <x:c r="K11" s="2"/>
      <x:c r="L11" s="2"/>
      <x:c r="M11" s="2"/>
      <x:c r="N11" s="2"/>
      <x:c r="O11" s="2"/>
      <x:c r="P11" s="2"/>
      <x:c r="Q11" s="2"/>
    </x:row>
    <x:row r="12" ht="28" customHeight="1">
      <x:c r="A12" s="52"/>
      <x:c r="B12" s="38" t="str"/>
      <x:c r="C12" s="38" t="str"/>
      <x:c r="D12" s="38" t="str"/>
      <x:c r="E12" s="38" t="str"/>
      <x:c r="F12" s="38" t="str"/>
      <x:c r="G12" s="38" t="str"/>
      <x:c r="H12" s="38" t="str">
        <x:v>À décider</x:v>
      </x:c>
      <x:c r="I12" s="38" t="str"/>
      <x:c r="J12" s="53" t="str"/>
      <x:c r="K12" s="2"/>
      <x:c r="L12" s="2"/>
      <x:c r="M12" s="2"/>
      <x:c r="N12" s="2"/>
      <x:c r="O12" s="2"/>
      <x:c r="P12" s="2"/>
      <x:c r="Q12" s="2"/>
    </x:row>
    <x:row r="13" ht="28" customHeight="1">
      <x:c r="A13" s="52"/>
      <x:c r="B13" s="38" t="str"/>
      <x:c r="C13" s="38" t="str"/>
      <x:c r="D13" s="38" t="str"/>
      <x:c r="E13" s="38" t="str"/>
      <x:c r="F13" s="38" t="str"/>
      <x:c r="G13" s="38" t="str"/>
      <x:c r="H13" s="38" t="str">
        <x:v>À décider</x:v>
      </x:c>
      <x:c r="I13" s="38" t="str"/>
      <x:c r="J13" s="53" t="str"/>
      <x:c r="K13" s="2"/>
      <x:c r="L13" s="2"/>
      <x:c r="M13" s="2"/>
      <x:c r="N13" s="2"/>
      <x:c r="O13" s="2"/>
      <x:c r="P13" s="2"/>
      <x:c r="Q13" s="2"/>
    </x:row>
    <x:row r="14" ht="28" customHeight="1">
      <x:c r="A14" s="52"/>
      <x:c r="B14" s="38" t="str"/>
      <x:c r="C14" s="38" t="str"/>
      <x:c r="D14" s="38" t="str"/>
      <x:c r="E14" s="38" t="str"/>
      <x:c r="F14" s="38" t="str"/>
      <x:c r="G14" s="38" t="str"/>
      <x:c r="H14" s="38" t="str">
        <x:v>À décider</x:v>
      </x:c>
      <x:c r="I14" s="38" t="str"/>
      <x:c r="J14" s="53" t="str"/>
      <x:c r="K14" s="2"/>
      <x:c r="L14" s="2"/>
      <x:c r="M14" s="2"/>
      <x:c r="N14" s="2"/>
      <x:c r="O14" s="2"/>
      <x:c r="P14" s="2"/>
      <x:c r="Q14" s="2"/>
    </x:row>
    <x:row r="15" ht="28" customHeight="1">
      <x:c r="A15" s="52"/>
      <x:c r="B15" s="38" t="str"/>
      <x:c r="C15" s="38" t="str"/>
      <x:c r="D15" s="38" t="str"/>
      <x:c r="E15" s="38" t="str"/>
      <x:c r="F15" s="38" t="str"/>
      <x:c r="G15" s="38" t="str"/>
      <x:c r="H15" s="38" t="str">
        <x:v>À décider</x:v>
      </x:c>
      <x:c r="I15" s="38" t="str"/>
      <x:c r="J15" s="53" t="str"/>
      <x:c r="K15" s="2"/>
      <x:c r="L15" s="2"/>
      <x:c r="M15" s="2"/>
      <x:c r="N15" s="2"/>
      <x:c r="O15" s="2"/>
      <x:c r="P15" s="2"/>
      <x:c r="Q15" s="2"/>
    </x:row>
    <x:row r="16" ht="28" customHeight="1">
      <x:c r="A16" s="52"/>
      <x:c r="B16" s="38" t="str"/>
      <x:c r="C16" s="38" t="str"/>
      <x:c r="D16" s="38" t="str"/>
      <x:c r="E16" s="38" t="str"/>
      <x:c r="F16" s="38" t="str"/>
      <x:c r="G16" s="38" t="str"/>
      <x:c r="H16" s="38" t="str">
        <x:v>À décider</x:v>
      </x:c>
      <x:c r="I16" s="38" t="str"/>
      <x:c r="J16" s="53" t="str"/>
      <x:c r="K16" s="2"/>
      <x:c r="L16" s="2"/>
      <x:c r="M16" s="2"/>
      <x:c r="N16" s="2"/>
      <x:c r="O16" s="2"/>
      <x:c r="P16" s="2"/>
      <x:c r="Q16" s="2"/>
    </x:row>
    <x:row r="17" ht="28" customHeight="1">
      <x:c r="A17" s="52"/>
      <x:c r="B17" s="38" t="str"/>
      <x:c r="C17" s="38" t="str"/>
      <x:c r="D17" s="38" t="str"/>
      <x:c r="E17" s="38" t="str"/>
      <x:c r="F17" s="38" t="str"/>
      <x:c r="G17" s="38" t="str"/>
      <x:c r="H17" s="38" t="str">
        <x:v>À décider</x:v>
      </x:c>
      <x:c r="I17" s="38" t="str"/>
      <x:c r="J17" s="53" t="str"/>
      <x:c r="K17" s="2"/>
      <x:c r="L17" s="2"/>
      <x:c r="M17" s="2"/>
      <x:c r="N17" s="2"/>
      <x:c r="O17" s="2"/>
      <x:c r="P17" s="2"/>
      <x:c r="Q17" s="2"/>
    </x:row>
    <x:row r="18" ht="28" customHeight="1">
      <x:c r="A18" s="52"/>
      <x:c r="B18" s="38" t="str"/>
      <x:c r="C18" s="38" t="str"/>
      <x:c r="D18" s="38" t="str"/>
      <x:c r="E18" s="38" t="str"/>
      <x:c r="F18" s="38" t="str"/>
      <x:c r="G18" s="38" t="str"/>
      <x:c r="H18" s="38" t="str">
        <x:v>À décider</x:v>
      </x:c>
      <x:c r="I18" s="38" t="str"/>
      <x:c r="J18" s="53" t="str"/>
      <x:c r="K18" s="2"/>
      <x:c r="L18" s="2"/>
      <x:c r="M18" s="2"/>
      <x:c r="N18" s="2"/>
      <x:c r="O18" s="2"/>
      <x:c r="P18" s="2"/>
      <x:c r="Q18" s="2"/>
    </x:row>
    <x:row r="19" ht="28" customHeight="1">
      <x:c r="A19" s="52"/>
      <x:c r="B19" s="38" t="str"/>
      <x:c r="C19" s="38" t="str"/>
      <x:c r="D19" s="38" t="str"/>
      <x:c r="E19" s="38" t="str"/>
      <x:c r="F19" s="38" t="str"/>
      <x:c r="G19" s="38" t="str"/>
      <x:c r="H19" s="38" t="str">
        <x:v>À décider</x:v>
      </x:c>
      <x:c r="I19" s="38" t="str"/>
      <x:c r="J19" s="53" t="str"/>
      <x:c r="K19" s="2"/>
      <x:c r="L19" s="2"/>
      <x:c r="M19" s="2"/>
      <x:c r="N19" s="2"/>
      <x:c r="O19" s="2"/>
      <x:c r="P19" s="2"/>
      <x:c r="Q19" s="2"/>
    </x:row>
    <x:row r="20" ht="28" customHeight="1">
      <x:c r="A20" s="52"/>
      <x:c r="B20" s="38" t="str"/>
      <x:c r="C20" s="38" t="str"/>
      <x:c r="D20" s="38" t="str"/>
      <x:c r="E20" s="38" t="str"/>
      <x:c r="F20" s="38" t="str"/>
      <x:c r="G20" s="38" t="str"/>
      <x:c r="H20" s="38" t="str">
        <x:v>À décider</x:v>
      </x:c>
      <x:c r="I20" s="38" t="str"/>
      <x:c r="J20" s="53" t="str"/>
      <x:c r="K20" s="2"/>
      <x:c r="L20" s="2"/>
      <x:c r="M20" s="2"/>
      <x:c r="N20" s="2"/>
      <x:c r="O20" s="2"/>
      <x:c r="P20" s="2"/>
      <x:c r="Q20" s="2"/>
    </x:row>
    <x:row r="21" ht="28" customHeight="1">
      <x:c r="A21" s="52"/>
      <x:c r="B21" s="38" t="str"/>
      <x:c r="C21" s="38" t="str"/>
      <x:c r="D21" s="38" t="str"/>
      <x:c r="E21" s="38" t="str"/>
      <x:c r="F21" s="38" t="str"/>
      <x:c r="G21" s="38" t="str"/>
      <x:c r="H21" s="38" t="str">
        <x:v>À décider</x:v>
      </x:c>
      <x:c r="I21" s="38" t="str"/>
      <x:c r="J21" s="53" t="str"/>
      <x:c r="K21" s="2"/>
      <x:c r="L21" s="2"/>
      <x:c r="M21" s="2"/>
      <x:c r="N21" s="2"/>
      <x:c r="O21" s="2"/>
      <x:c r="P21" s="2"/>
      <x:c r="Q21" s="2"/>
    </x:row>
    <x:row r="22" ht="28" customHeight="1">
      <x:c r="A22" s="52"/>
      <x:c r="B22" s="38" t="str"/>
      <x:c r="C22" s="38" t="str"/>
      <x:c r="D22" s="38" t="str"/>
      <x:c r="E22" s="38" t="str"/>
      <x:c r="F22" s="38" t="str"/>
      <x:c r="G22" s="38" t="str"/>
      <x:c r="H22" s="38" t="str">
        <x:v>À décider</x:v>
      </x:c>
      <x:c r="I22" s="38" t="str"/>
      <x:c r="J22" s="53" t="str"/>
      <x:c r="K22" s="2"/>
      <x:c r="L22" s="2"/>
      <x:c r="M22" s="2"/>
      <x:c r="N22" s="2"/>
      <x:c r="O22" s="2"/>
      <x:c r="P22" s="2"/>
      <x:c r="Q22" s="2"/>
    </x:row>
    <x:row r="23" ht="28" customHeight="1">
      <x:c r="A23" s="52"/>
      <x:c r="B23" s="38" t="str"/>
      <x:c r="C23" s="38" t="str"/>
      <x:c r="D23" s="38" t="str"/>
      <x:c r="E23" s="38" t="str"/>
      <x:c r="F23" s="38" t="str"/>
      <x:c r="G23" s="38" t="str"/>
      <x:c r="H23" s="38" t="str">
        <x:v>À décider</x:v>
      </x:c>
      <x:c r="I23" s="38" t="str"/>
      <x:c r="J23" s="53" t="str"/>
      <x:c r="K23" s="2"/>
      <x:c r="L23" s="2"/>
      <x:c r="M23" s="2"/>
      <x:c r="N23" s="2"/>
      <x:c r="O23" s="2"/>
      <x:c r="P23" s="2"/>
      <x:c r="Q23" s="2"/>
    </x:row>
    <x:row r="24" ht="28" customHeight="1">
      <x:c r="A24" s="52"/>
      <x:c r="B24" s="38" t="str"/>
      <x:c r="C24" s="38" t="str"/>
      <x:c r="D24" s="38" t="str"/>
      <x:c r="E24" s="38" t="str"/>
      <x:c r="F24" s="38" t="str"/>
      <x:c r="G24" s="38" t="str"/>
      <x:c r="H24" s="38" t="str">
        <x:v>À décider</x:v>
      </x:c>
      <x:c r="I24" s="38" t="str"/>
      <x:c r="J24" s="53" t="str"/>
      <x:c r="K24" s="2"/>
      <x:c r="L24" s="2"/>
      <x:c r="M24" s="2"/>
      <x:c r="N24" s="2"/>
      <x:c r="O24" s="2"/>
      <x:c r="P24" s="2"/>
      <x:c r="Q24" s="2"/>
    </x:row>
    <x:row r="25" ht="28" customHeight="1">
      <x:c r="A25" s="52"/>
      <x:c r="B25" s="38" t="str"/>
      <x:c r="C25" s="38" t="str"/>
      <x:c r="D25" s="38" t="str"/>
      <x:c r="E25" s="38" t="str"/>
      <x:c r="F25" s="38" t="str"/>
      <x:c r="G25" s="38" t="str"/>
      <x:c r="H25" s="38" t="str">
        <x:v>À décider</x:v>
      </x:c>
      <x:c r="I25" s="38" t="str"/>
      <x:c r="J25" s="53" t="str"/>
      <x:c r="K25" s="2"/>
      <x:c r="L25" s="2"/>
      <x:c r="M25" s="2"/>
      <x:c r="N25" s="2"/>
      <x:c r="O25" s="2"/>
      <x:c r="P25" s="2"/>
      <x:c r="Q25" s="2"/>
    </x:row>
    <x:row r="26" ht="28" customHeight="1">
      <x:c r="A26" s="52"/>
      <x:c r="B26" s="38" t="str"/>
      <x:c r="C26" s="38" t="str"/>
      <x:c r="D26" s="38" t="str"/>
      <x:c r="E26" s="38" t="str"/>
      <x:c r="F26" s="38" t="str"/>
      <x:c r="G26" s="38" t="str"/>
      <x:c r="H26" s="38" t="str">
        <x:v>À décider</x:v>
      </x:c>
      <x:c r="I26" s="38" t="str"/>
      <x:c r="J26" s="53" t="str"/>
      <x:c r="K26" s="2"/>
      <x:c r="L26" s="2"/>
      <x:c r="M26" s="2"/>
      <x:c r="N26" s="2"/>
      <x:c r="O26" s="2"/>
      <x:c r="P26" s="2"/>
      <x:c r="Q26" s="2"/>
    </x:row>
    <x:row r="27" ht="28" customHeight="1">
      <x:c r="A27" s="52"/>
      <x:c r="B27" s="38" t="str"/>
      <x:c r="C27" s="38" t="str"/>
      <x:c r="D27" s="38" t="str"/>
      <x:c r="E27" s="38" t="str"/>
      <x:c r="F27" s="38" t="str"/>
      <x:c r="G27" s="38" t="str"/>
      <x:c r="H27" s="38" t="str">
        <x:v>À décider</x:v>
      </x:c>
      <x:c r="I27" s="38" t="str"/>
      <x:c r="J27" s="53" t="str"/>
      <x:c r="K27" s="2"/>
      <x:c r="L27" s="2"/>
      <x:c r="M27" s="2"/>
      <x:c r="N27" s="2"/>
      <x:c r="O27" s="2"/>
      <x:c r="P27" s="2"/>
      <x:c r="Q27" s="2"/>
    </x:row>
    <x:row r="28" ht="28" customHeight="1">
      <x:c r="A28" s="52"/>
      <x:c r="B28" s="38" t="str"/>
      <x:c r="C28" s="38" t="str"/>
      <x:c r="D28" s="38" t="str"/>
      <x:c r="E28" s="38" t="str"/>
      <x:c r="F28" s="38" t="str"/>
      <x:c r="G28" s="38" t="str"/>
      <x:c r="H28" s="38" t="str">
        <x:v>À décider</x:v>
      </x:c>
      <x:c r="I28" s="38" t="str"/>
      <x:c r="J28" s="53" t="str"/>
      <x:c r="K28" s="2"/>
      <x:c r="L28" s="2"/>
      <x:c r="M28" s="2"/>
      <x:c r="N28" s="2"/>
      <x:c r="O28" s="2"/>
      <x:c r="P28" s="2"/>
      <x:c r="Q28" s="2"/>
    </x:row>
    <x:row r="29" ht="28" customHeight="1">
      <x:c r="A29" s="52"/>
      <x:c r="B29" s="38" t="str"/>
      <x:c r="C29" s="38" t="str"/>
      <x:c r="D29" s="38" t="str"/>
      <x:c r="E29" s="38" t="str"/>
      <x:c r="F29" s="38" t="str"/>
      <x:c r="G29" s="38" t="str"/>
      <x:c r="H29" s="38" t="str">
        <x:v>À décider</x:v>
      </x:c>
      <x:c r="I29" s="38" t="str"/>
      <x:c r="J29" s="53" t="str"/>
      <x:c r="K29" s="2"/>
      <x:c r="L29" s="2"/>
      <x:c r="M29" s="2"/>
      <x:c r="N29" s="2"/>
      <x:c r="O29" s="2"/>
      <x:c r="P29" s="2"/>
      <x:c r="Q29" s="2"/>
    </x:row>
    <x:row r="30" ht="28" customHeight="1">
      <x:c r="A30" s="52"/>
      <x:c r="B30" s="38" t="str"/>
      <x:c r="C30" s="38" t="str"/>
      <x:c r="D30" s="38" t="str"/>
      <x:c r="E30" s="38" t="str"/>
      <x:c r="F30" s="38" t="str"/>
      <x:c r="G30" s="38" t="str"/>
      <x:c r="H30" s="38" t="str">
        <x:v>À décider</x:v>
      </x:c>
      <x:c r="I30" s="38" t="str"/>
      <x:c r="J30" s="53" t="str"/>
      <x:c r="K30" s="2"/>
      <x:c r="L30" s="2"/>
      <x:c r="M30" s="2"/>
      <x:c r="N30" s="2"/>
      <x:c r="O30" s="2"/>
      <x:c r="P30" s="2"/>
      <x:c r="Q30" s="2"/>
    </x:row>
    <x:row r="31" ht="28" customHeight="1">
      <x:c r="A31" s="54"/>
      <x:c r="B31" s="45" t="str"/>
      <x:c r="C31" s="45" t="str"/>
      <x:c r="D31" s="45" t="str"/>
      <x:c r="E31" s="45" t="str"/>
      <x:c r="F31" s="45" t="str"/>
      <x:c r="G31" s="45" t="str"/>
      <x:c r="H31" s="45" t="str">
        <x:v>À décider</x:v>
      </x:c>
      <x:c r="I31" s="45" t="str"/>
      <x:c r="J31" s="55" t="str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H7:H31">
      <x:formula1>"Accepté,Accepté sous réserve,Refusé,À décider"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9CDE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42" hidden="0" customWidth="1"/>
    <x:col min="4" max="4" width="30" hidden="0" customWidth="1"/>
    <x:col min="5" max="5" width="20" hidden="0" customWidth="1"/>
    <x:col min="6" max="6" width="34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Grille audit PMS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Auto-évaluation : conserver le fait, la preuve et l’action ; l’audit ne vaut pas validation externe.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Domaine</x:v>
      </x:c>
      <x:c r="B6" s="41" t="str">
        <x:v>Point contrôlé</x:v>
      </x:c>
      <x:c r="C6" s="41" t="str">
        <x:v>Fait observé</x:v>
      </x:c>
      <x:c r="D6" s="41" t="str">
        <x:v>Preuve</x:v>
      </x:c>
      <x:c r="E6" s="41" t="str">
        <x:v>Résultat</x:v>
      </x:c>
      <x:c r="F6" s="41" t="str">
        <x:v>Action / pilote</x:v>
      </x:c>
      <x:c r="G6" s="18" t="str">
        <x:v>Échéance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8" customHeight="1">
      <x:c r="A7" s="56" t="str">
        <x:v>Hygiène du personnel</x:v>
      </x:c>
      <x:c r="B7" s="38" t="str"/>
      <x:c r="C7" s="38" t="str"/>
      <x:c r="D7" s="38" t="str"/>
      <x:c r="E7" s="38" t="str">
        <x:v>À vérifier</x:v>
      </x:c>
      <x:c r="F7" s="38" t="str"/>
      <x:c r="G7" s="43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8" customHeight="1">
      <x:c r="A8" s="56" t="str">
        <x:v>Flux et séparation</x:v>
      </x:c>
      <x:c r="B8" s="38" t="str"/>
      <x:c r="C8" s="38" t="str"/>
      <x:c r="D8" s="38" t="str"/>
      <x:c r="E8" s="38" t="str">
        <x:v>À vérifier</x:v>
      </x:c>
      <x:c r="F8" s="38" t="str"/>
      <x:c r="G8" s="43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8" customHeight="1">
      <x:c r="A9" s="56" t="str">
        <x:v>Réception</x:v>
      </x:c>
      <x:c r="B9" s="38" t="str"/>
      <x:c r="C9" s="38" t="str"/>
      <x:c r="D9" s="38" t="str"/>
      <x:c r="E9" s="38" t="str">
        <x:v>À vérifier</x:v>
      </x:c>
      <x:c r="F9" s="38" t="str"/>
      <x:c r="G9" s="43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8" customHeight="1">
      <x:c r="A10" s="56" t="str">
        <x:v>Températures</x:v>
      </x:c>
      <x:c r="B10" s="38" t="str"/>
      <x:c r="C10" s="38" t="str"/>
      <x:c r="D10" s="38" t="str"/>
      <x:c r="E10" s="38" t="str">
        <x:v>À vérifier</x:v>
      </x:c>
      <x:c r="F10" s="38" t="str"/>
      <x:c r="G10" s="43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8" customHeight="1">
      <x:c r="A11" s="56" t="str">
        <x:v>Nettoyage / désinfection</x:v>
      </x:c>
      <x:c r="B11" s="38" t="str"/>
      <x:c r="C11" s="38" t="str"/>
      <x:c r="D11" s="38" t="str"/>
      <x:c r="E11" s="38" t="str">
        <x:v>À vérifier</x:v>
      </x:c>
      <x:c r="F11" s="38" t="str"/>
      <x:c r="G11" s="43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8" customHeight="1">
      <x:c r="A12" s="56" t="str">
        <x:v>Traçabilité</x:v>
      </x:c>
      <x:c r="B12" s="38" t="str"/>
      <x:c r="C12" s="38" t="str"/>
      <x:c r="D12" s="38" t="str"/>
      <x:c r="E12" s="38" t="str">
        <x:v>À vérifier</x:v>
      </x:c>
      <x:c r="F12" s="38" t="str"/>
      <x:c r="G12" s="43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8" customHeight="1">
      <x:c r="A13" s="56" t="str">
        <x:v>Gestion des non-conformités</x:v>
      </x:c>
      <x:c r="B13" s="38" t="str"/>
      <x:c r="C13" s="38" t="str"/>
      <x:c r="D13" s="38" t="str"/>
      <x:c r="E13" s="38" t="str">
        <x:v>À vérifier</x:v>
      </x:c>
      <x:c r="F13" s="38" t="str"/>
      <x:c r="G13" s="43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8" customHeight="1">
      <x:c r="A14" s="56" t="str">
        <x:v>Allergènes</x:v>
      </x:c>
      <x:c r="B14" s="38" t="str"/>
      <x:c r="C14" s="38" t="str"/>
      <x:c r="D14" s="38" t="str"/>
      <x:c r="E14" s="38" t="str">
        <x:v>À vérifier</x:v>
      </x:c>
      <x:c r="F14" s="38" t="str"/>
      <x:c r="G14" s="43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8" customHeight="1">
      <x:c r="A15" s="56" t="str">
        <x:v>Maintenance / métrologie</x:v>
      </x:c>
      <x:c r="B15" s="38" t="str"/>
      <x:c r="C15" s="38" t="str"/>
      <x:c r="D15" s="38" t="str"/>
      <x:c r="E15" s="38" t="str">
        <x:v>À vérifier</x:v>
      </x:c>
      <x:c r="F15" s="38" t="str"/>
      <x:c r="G15" s="43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8" customHeight="1">
      <x:c r="A16" s="57" t="str">
        <x:v>Formation</x:v>
      </x:c>
      <x:c r="B16" s="45" t="str"/>
      <x:c r="C16" s="45" t="str"/>
      <x:c r="D16" s="45" t="str"/>
      <x:c r="E16" s="45" t="str">
        <x:v>À vérifier</x:v>
      </x:c>
      <x:c r="F16" s="45" t="str"/>
      <x:c r="G16" s="47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E7:E16">
      <x:formula1>"Conforme,Partiel,Non conforme,À vérifier"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4E5F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42" hidden="0" customWidth="1"/>
    <x:col min="4" max="4" width="34" hidden="0" customWidth="1"/>
    <x:col min="5" max="5" width="32" hidden="0" customWidth="1"/>
    <x:col min="6" max="6" width="35" hidden="0" customWidth="1"/>
    <x:col min="7" max="7" width="22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Registre des non-conformités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Écart, mise en sécurité, analyse, action, preuve et vérification.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N°</x:v>
      </x:c>
      <x:c r="B6" s="41" t="str">
        <x:v>Date</x:v>
      </x:c>
      <x:c r="C6" s="41" t="str">
        <x:v>Écart / fait</x:v>
      </x:c>
      <x:c r="D6" s="41" t="str">
        <x:v>Mesure immédiate</x:v>
      </x:c>
      <x:c r="E6" s="41" t="str">
        <x:v>Cause à analyser</x:v>
      </x:c>
      <x:c r="F6" s="41" t="str">
        <x:v>Action</x:v>
      </x:c>
      <x:c r="G6" s="41" t="str">
        <x:v>Pilote</x:v>
      </x:c>
      <x:c r="H6" s="41" t="str">
        <x:v>Échéance</x:v>
      </x:c>
      <x:c r="I6" s="41" t="str">
        <x:v>Statut</x:v>
      </x:c>
      <x:c r="J6" s="41" t="str">
        <x:v>Preuve</x:v>
      </x:c>
      <x:c r="K6" s="18" t="str">
        <x:v>Vérifié le</x:v>
      </x:c>
      <x:c r="L6" s="2"/>
      <x:c r="M6" s="2"/>
      <x:c r="N6" s="2"/>
      <x:c r="O6" s="2"/>
      <x:c r="P6" s="2"/>
      <x:c r="Q6" s="2"/>
    </x:row>
    <x:row r="7" ht="28" customHeight="1">
      <x:c r="A7" s="58" t="n">
        <x:v>1</x:v>
      </x:c>
      <x:c r="B7" s="40"/>
      <x:c r="C7" s="38" t="str"/>
      <x:c r="D7" s="38" t="str"/>
      <x:c r="E7" s="38" t="str"/>
      <x:c r="F7" s="38" t="str"/>
      <x:c r="G7" s="38" t="str"/>
      <x:c r="H7" s="40"/>
      <x:c r="I7" s="38" t="str">
        <x:v>Ouverte</x:v>
      </x:c>
      <x:c r="J7" s="38" t="str"/>
      <x:c r="K7" s="43"/>
      <x:c r="L7" s="2"/>
      <x:c r="M7" s="2"/>
      <x:c r="N7" s="2"/>
      <x:c r="O7" s="2"/>
      <x:c r="P7" s="2"/>
      <x:c r="Q7" s="2"/>
    </x:row>
    <x:row r="8" ht="28" customHeight="1">
      <x:c r="A8" s="58" t="n">
        <x:v>2</x:v>
      </x:c>
      <x:c r="B8" s="40"/>
      <x:c r="C8" s="38" t="str"/>
      <x:c r="D8" s="38" t="str"/>
      <x:c r="E8" s="38" t="str"/>
      <x:c r="F8" s="38" t="str"/>
      <x:c r="G8" s="38" t="str"/>
      <x:c r="H8" s="40"/>
      <x:c r="I8" s="38" t="str">
        <x:v>Ouverte</x:v>
      </x:c>
      <x:c r="J8" s="38" t="str"/>
      <x:c r="K8" s="43"/>
      <x:c r="L8" s="2"/>
      <x:c r="M8" s="2"/>
      <x:c r="N8" s="2"/>
      <x:c r="O8" s="2"/>
      <x:c r="P8" s="2"/>
      <x:c r="Q8" s="2"/>
    </x:row>
    <x:row r="9" ht="28" customHeight="1">
      <x:c r="A9" s="58" t="n">
        <x:v>3</x:v>
      </x:c>
      <x:c r="B9" s="40"/>
      <x:c r="C9" s="38" t="str"/>
      <x:c r="D9" s="38" t="str"/>
      <x:c r="E9" s="38" t="str"/>
      <x:c r="F9" s="38" t="str"/>
      <x:c r="G9" s="38" t="str"/>
      <x:c r="H9" s="40"/>
      <x:c r="I9" s="38" t="str">
        <x:v>Ouverte</x:v>
      </x:c>
      <x:c r="J9" s="38" t="str"/>
      <x:c r="K9" s="43"/>
      <x:c r="L9" s="2"/>
      <x:c r="M9" s="2"/>
      <x:c r="N9" s="2"/>
      <x:c r="O9" s="2"/>
      <x:c r="P9" s="2"/>
      <x:c r="Q9" s="2"/>
    </x:row>
    <x:row r="10" ht="28" customHeight="1">
      <x:c r="A10" s="58" t="n">
        <x:v>4</x:v>
      </x:c>
      <x:c r="B10" s="40"/>
      <x:c r="C10" s="38" t="str"/>
      <x:c r="D10" s="38" t="str"/>
      <x:c r="E10" s="38" t="str"/>
      <x:c r="F10" s="38" t="str"/>
      <x:c r="G10" s="38" t="str"/>
      <x:c r="H10" s="40"/>
      <x:c r="I10" s="38" t="str">
        <x:v>Ouverte</x:v>
      </x:c>
      <x:c r="J10" s="38" t="str"/>
      <x:c r="K10" s="43"/>
      <x:c r="L10" s="2"/>
      <x:c r="M10" s="2"/>
      <x:c r="N10" s="2"/>
      <x:c r="O10" s="2"/>
      <x:c r="P10" s="2"/>
      <x:c r="Q10" s="2"/>
    </x:row>
    <x:row r="11" ht="28" customHeight="1">
      <x:c r="A11" s="58" t="n">
        <x:v>5</x:v>
      </x:c>
      <x:c r="B11" s="40"/>
      <x:c r="C11" s="38" t="str"/>
      <x:c r="D11" s="38" t="str"/>
      <x:c r="E11" s="38" t="str"/>
      <x:c r="F11" s="38" t="str"/>
      <x:c r="G11" s="38" t="str"/>
      <x:c r="H11" s="40"/>
      <x:c r="I11" s="38" t="str">
        <x:v>Ouverte</x:v>
      </x:c>
      <x:c r="J11" s="38" t="str"/>
      <x:c r="K11" s="43"/>
      <x:c r="L11" s="2"/>
      <x:c r="M11" s="2"/>
      <x:c r="N11" s="2"/>
      <x:c r="O11" s="2"/>
      <x:c r="P11" s="2"/>
      <x:c r="Q11" s="2"/>
    </x:row>
    <x:row r="12" ht="28" customHeight="1">
      <x:c r="A12" s="58" t="n">
        <x:v>6</x:v>
      </x:c>
      <x:c r="B12" s="40"/>
      <x:c r="C12" s="38" t="str"/>
      <x:c r="D12" s="38" t="str"/>
      <x:c r="E12" s="38" t="str"/>
      <x:c r="F12" s="38" t="str"/>
      <x:c r="G12" s="38" t="str"/>
      <x:c r="H12" s="40"/>
      <x:c r="I12" s="38" t="str">
        <x:v>Ouverte</x:v>
      </x:c>
      <x:c r="J12" s="38" t="str"/>
      <x:c r="K12" s="43"/>
      <x:c r="L12" s="2"/>
      <x:c r="M12" s="2"/>
      <x:c r="N12" s="2"/>
      <x:c r="O12" s="2"/>
      <x:c r="P12" s="2"/>
      <x:c r="Q12" s="2"/>
    </x:row>
    <x:row r="13" ht="28" customHeight="1">
      <x:c r="A13" s="58" t="n">
        <x:v>7</x:v>
      </x:c>
      <x:c r="B13" s="40"/>
      <x:c r="C13" s="38" t="str"/>
      <x:c r="D13" s="38" t="str"/>
      <x:c r="E13" s="38" t="str"/>
      <x:c r="F13" s="38" t="str"/>
      <x:c r="G13" s="38" t="str"/>
      <x:c r="H13" s="40"/>
      <x:c r="I13" s="38" t="str">
        <x:v>Ouverte</x:v>
      </x:c>
      <x:c r="J13" s="38" t="str"/>
      <x:c r="K13" s="43"/>
      <x:c r="L13" s="2"/>
      <x:c r="M13" s="2"/>
      <x:c r="N13" s="2"/>
      <x:c r="O13" s="2"/>
      <x:c r="P13" s="2"/>
      <x:c r="Q13" s="2"/>
    </x:row>
    <x:row r="14" ht="28" customHeight="1">
      <x:c r="A14" s="58" t="n">
        <x:v>8</x:v>
      </x:c>
      <x:c r="B14" s="40"/>
      <x:c r="C14" s="38" t="str"/>
      <x:c r="D14" s="38" t="str"/>
      <x:c r="E14" s="38" t="str"/>
      <x:c r="F14" s="38" t="str"/>
      <x:c r="G14" s="38" t="str"/>
      <x:c r="H14" s="40"/>
      <x:c r="I14" s="38" t="str">
        <x:v>Ouverte</x:v>
      </x:c>
      <x:c r="J14" s="38" t="str"/>
      <x:c r="K14" s="43"/>
      <x:c r="L14" s="2"/>
      <x:c r="M14" s="2"/>
      <x:c r="N14" s="2"/>
      <x:c r="O14" s="2"/>
      <x:c r="P14" s="2"/>
      <x:c r="Q14" s="2"/>
    </x:row>
    <x:row r="15" ht="28" customHeight="1">
      <x:c r="A15" s="58" t="n">
        <x:v>9</x:v>
      </x:c>
      <x:c r="B15" s="40"/>
      <x:c r="C15" s="38" t="str"/>
      <x:c r="D15" s="38" t="str"/>
      <x:c r="E15" s="38" t="str"/>
      <x:c r="F15" s="38" t="str"/>
      <x:c r="G15" s="38" t="str"/>
      <x:c r="H15" s="40"/>
      <x:c r="I15" s="38" t="str">
        <x:v>Ouverte</x:v>
      </x:c>
      <x:c r="J15" s="38" t="str"/>
      <x:c r="K15" s="43"/>
      <x:c r="L15" s="2"/>
      <x:c r="M15" s="2"/>
      <x:c r="N15" s="2"/>
      <x:c r="O15" s="2"/>
      <x:c r="P15" s="2"/>
      <x:c r="Q15" s="2"/>
    </x:row>
    <x:row r="16" ht="28" customHeight="1">
      <x:c r="A16" s="58" t="n">
        <x:v>10</x:v>
      </x:c>
      <x:c r="B16" s="40"/>
      <x:c r="C16" s="38" t="str"/>
      <x:c r="D16" s="38" t="str"/>
      <x:c r="E16" s="38" t="str"/>
      <x:c r="F16" s="38" t="str"/>
      <x:c r="G16" s="38" t="str"/>
      <x:c r="H16" s="40"/>
      <x:c r="I16" s="38" t="str">
        <x:v>Ouverte</x:v>
      </x:c>
      <x:c r="J16" s="38" t="str"/>
      <x:c r="K16" s="43"/>
      <x:c r="L16" s="2"/>
      <x:c r="M16" s="2"/>
      <x:c r="N16" s="2"/>
      <x:c r="O16" s="2"/>
      <x:c r="P16" s="2"/>
      <x:c r="Q16" s="2"/>
    </x:row>
    <x:row r="17" ht="28" customHeight="1">
      <x:c r="A17" s="58" t="n">
        <x:v>11</x:v>
      </x:c>
      <x:c r="B17" s="40"/>
      <x:c r="C17" s="38" t="str"/>
      <x:c r="D17" s="38" t="str"/>
      <x:c r="E17" s="38" t="str"/>
      <x:c r="F17" s="38" t="str"/>
      <x:c r="G17" s="38" t="str"/>
      <x:c r="H17" s="40"/>
      <x:c r="I17" s="38" t="str">
        <x:v>Ouverte</x:v>
      </x:c>
      <x:c r="J17" s="38" t="str"/>
      <x:c r="K17" s="43"/>
      <x:c r="L17" s="2"/>
      <x:c r="M17" s="2"/>
      <x:c r="N17" s="2"/>
      <x:c r="O17" s="2"/>
      <x:c r="P17" s="2"/>
      <x:c r="Q17" s="2"/>
    </x:row>
    <x:row r="18" ht="28" customHeight="1">
      <x:c r="A18" s="58" t="n">
        <x:v>12</x:v>
      </x:c>
      <x:c r="B18" s="40"/>
      <x:c r="C18" s="38" t="str"/>
      <x:c r="D18" s="38" t="str"/>
      <x:c r="E18" s="38" t="str"/>
      <x:c r="F18" s="38" t="str"/>
      <x:c r="G18" s="38" t="str"/>
      <x:c r="H18" s="40"/>
      <x:c r="I18" s="38" t="str">
        <x:v>Ouverte</x:v>
      </x:c>
      <x:c r="J18" s="38" t="str"/>
      <x:c r="K18" s="43"/>
      <x:c r="L18" s="2"/>
      <x:c r="M18" s="2"/>
      <x:c r="N18" s="2"/>
      <x:c r="O18" s="2"/>
      <x:c r="P18" s="2"/>
      <x:c r="Q18" s="2"/>
    </x:row>
    <x:row r="19" ht="28" customHeight="1">
      <x:c r="A19" s="58" t="n">
        <x:v>13</x:v>
      </x:c>
      <x:c r="B19" s="40"/>
      <x:c r="C19" s="38" t="str"/>
      <x:c r="D19" s="38" t="str"/>
      <x:c r="E19" s="38" t="str"/>
      <x:c r="F19" s="38" t="str"/>
      <x:c r="G19" s="38" t="str"/>
      <x:c r="H19" s="40"/>
      <x:c r="I19" s="38" t="str">
        <x:v>Ouverte</x:v>
      </x:c>
      <x:c r="J19" s="38" t="str"/>
      <x:c r="K19" s="43"/>
      <x:c r="L19" s="2"/>
      <x:c r="M19" s="2"/>
      <x:c r="N19" s="2"/>
      <x:c r="O19" s="2"/>
      <x:c r="P19" s="2"/>
      <x:c r="Q19" s="2"/>
    </x:row>
    <x:row r="20" ht="28" customHeight="1">
      <x:c r="A20" s="58" t="n">
        <x:v>14</x:v>
      </x:c>
      <x:c r="B20" s="40"/>
      <x:c r="C20" s="38" t="str"/>
      <x:c r="D20" s="38" t="str"/>
      <x:c r="E20" s="38" t="str"/>
      <x:c r="F20" s="38" t="str"/>
      <x:c r="G20" s="38" t="str"/>
      <x:c r="H20" s="40"/>
      <x:c r="I20" s="38" t="str">
        <x:v>Ouverte</x:v>
      </x:c>
      <x:c r="J20" s="38" t="str"/>
      <x:c r="K20" s="43"/>
      <x:c r="L20" s="2"/>
      <x:c r="M20" s="2"/>
      <x:c r="N20" s="2"/>
      <x:c r="O20" s="2"/>
      <x:c r="P20" s="2"/>
      <x:c r="Q20" s="2"/>
    </x:row>
    <x:row r="21" ht="28" customHeight="1">
      <x:c r="A21" s="58" t="n">
        <x:v>15</x:v>
      </x:c>
      <x:c r="B21" s="40"/>
      <x:c r="C21" s="38" t="str"/>
      <x:c r="D21" s="38" t="str"/>
      <x:c r="E21" s="38" t="str"/>
      <x:c r="F21" s="38" t="str"/>
      <x:c r="G21" s="38" t="str"/>
      <x:c r="H21" s="40"/>
      <x:c r="I21" s="38" t="str">
        <x:v>Ouverte</x:v>
      </x:c>
      <x:c r="J21" s="38" t="str"/>
      <x:c r="K21" s="43"/>
      <x:c r="L21" s="2"/>
      <x:c r="M21" s="2"/>
      <x:c r="N21" s="2"/>
      <x:c r="O21" s="2"/>
      <x:c r="P21" s="2"/>
      <x:c r="Q21" s="2"/>
    </x:row>
    <x:row r="22" ht="28" customHeight="1">
      <x:c r="A22" s="58" t="n">
        <x:v>16</x:v>
      </x:c>
      <x:c r="B22" s="40"/>
      <x:c r="C22" s="38" t="str"/>
      <x:c r="D22" s="38" t="str"/>
      <x:c r="E22" s="38" t="str"/>
      <x:c r="F22" s="38" t="str"/>
      <x:c r="G22" s="38" t="str"/>
      <x:c r="H22" s="40"/>
      <x:c r="I22" s="38" t="str">
        <x:v>Ouverte</x:v>
      </x:c>
      <x:c r="J22" s="38" t="str"/>
      <x:c r="K22" s="43"/>
      <x:c r="L22" s="2"/>
      <x:c r="M22" s="2"/>
      <x:c r="N22" s="2"/>
      <x:c r="O22" s="2"/>
      <x:c r="P22" s="2"/>
      <x:c r="Q22" s="2"/>
    </x:row>
    <x:row r="23" ht="28" customHeight="1">
      <x:c r="A23" s="58" t="n">
        <x:v>17</x:v>
      </x:c>
      <x:c r="B23" s="40"/>
      <x:c r="C23" s="38" t="str"/>
      <x:c r="D23" s="38" t="str"/>
      <x:c r="E23" s="38" t="str"/>
      <x:c r="F23" s="38" t="str"/>
      <x:c r="G23" s="38" t="str"/>
      <x:c r="H23" s="40"/>
      <x:c r="I23" s="38" t="str">
        <x:v>Ouverte</x:v>
      </x:c>
      <x:c r="J23" s="38" t="str"/>
      <x:c r="K23" s="43"/>
      <x:c r="L23" s="2"/>
      <x:c r="M23" s="2"/>
      <x:c r="N23" s="2"/>
      <x:c r="O23" s="2"/>
      <x:c r="P23" s="2"/>
      <x:c r="Q23" s="2"/>
    </x:row>
    <x:row r="24" ht="28" customHeight="1">
      <x:c r="A24" s="58" t="n">
        <x:v>18</x:v>
      </x:c>
      <x:c r="B24" s="40"/>
      <x:c r="C24" s="38" t="str"/>
      <x:c r="D24" s="38" t="str"/>
      <x:c r="E24" s="38" t="str"/>
      <x:c r="F24" s="38" t="str"/>
      <x:c r="G24" s="38" t="str"/>
      <x:c r="H24" s="40"/>
      <x:c r="I24" s="38" t="str">
        <x:v>Ouverte</x:v>
      </x:c>
      <x:c r="J24" s="38" t="str"/>
      <x:c r="K24" s="43"/>
      <x:c r="L24" s="2"/>
      <x:c r="M24" s="2"/>
      <x:c r="N24" s="2"/>
      <x:c r="O24" s="2"/>
      <x:c r="P24" s="2"/>
      <x:c r="Q24" s="2"/>
    </x:row>
    <x:row r="25" ht="28" customHeight="1">
      <x:c r="A25" s="58" t="n">
        <x:v>19</x:v>
      </x:c>
      <x:c r="B25" s="40"/>
      <x:c r="C25" s="38" t="str"/>
      <x:c r="D25" s="38" t="str"/>
      <x:c r="E25" s="38" t="str"/>
      <x:c r="F25" s="38" t="str"/>
      <x:c r="G25" s="38" t="str"/>
      <x:c r="H25" s="40"/>
      <x:c r="I25" s="38" t="str">
        <x:v>Ouverte</x:v>
      </x:c>
      <x:c r="J25" s="38" t="str"/>
      <x:c r="K25" s="43"/>
      <x:c r="L25" s="2"/>
      <x:c r="M25" s="2"/>
      <x:c r="N25" s="2"/>
      <x:c r="O25" s="2"/>
      <x:c r="P25" s="2"/>
      <x:c r="Q25" s="2"/>
    </x:row>
    <x:row r="26" ht="28" customHeight="1">
      <x:c r="A26" s="58" t="n">
        <x:v>20</x:v>
      </x:c>
      <x:c r="B26" s="40"/>
      <x:c r="C26" s="38" t="str"/>
      <x:c r="D26" s="38" t="str"/>
      <x:c r="E26" s="38" t="str"/>
      <x:c r="F26" s="38" t="str"/>
      <x:c r="G26" s="38" t="str"/>
      <x:c r="H26" s="40"/>
      <x:c r="I26" s="38" t="str">
        <x:v>Ouverte</x:v>
      </x:c>
      <x:c r="J26" s="38" t="str"/>
      <x:c r="K26" s="43"/>
      <x:c r="L26" s="2"/>
      <x:c r="M26" s="2"/>
      <x:c r="N26" s="2"/>
      <x:c r="O26" s="2"/>
      <x:c r="P26" s="2"/>
      <x:c r="Q26" s="2"/>
    </x:row>
    <x:row r="27" ht="28" customHeight="1">
      <x:c r="A27" s="58" t="n">
        <x:v>21</x:v>
      </x:c>
      <x:c r="B27" s="40"/>
      <x:c r="C27" s="38" t="str"/>
      <x:c r="D27" s="38" t="str"/>
      <x:c r="E27" s="38" t="str"/>
      <x:c r="F27" s="38" t="str"/>
      <x:c r="G27" s="38" t="str"/>
      <x:c r="H27" s="40"/>
      <x:c r="I27" s="38" t="str">
        <x:v>Ouverte</x:v>
      </x:c>
      <x:c r="J27" s="38" t="str"/>
      <x:c r="K27" s="43"/>
      <x:c r="L27" s="2"/>
      <x:c r="M27" s="2"/>
      <x:c r="N27" s="2"/>
      <x:c r="O27" s="2"/>
      <x:c r="P27" s="2"/>
      <x:c r="Q27" s="2"/>
    </x:row>
    <x:row r="28" ht="28" customHeight="1">
      <x:c r="A28" s="58" t="n">
        <x:v>22</x:v>
      </x:c>
      <x:c r="B28" s="40"/>
      <x:c r="C28" s="38" t="str"/>
      <x:c r="D28" s="38" t="str"/>
      <x:c r="E28" s="38" t="str"/>
      <x:c r="F28" s="38" t="str"/>
      <x:c r="G28" s="38" t="str"/>
      <x:c r="H28" s="40"/>
      <x:c r="I28" s="38" t="str">
        <x:v>Ouverte</x:v>
      </x:c>
      <x:c r="J28" s="38" t="str"/>
      <x:c r="K28" s="43"/>
      <x:c r="L28" s="2"/>
      <x:c r="M28" s="2"/>
      <x:c r="N28" s="2"/>
      <x:c r="O28" s="2"/>
      <x:c r="P28" s="2"/>
      <x:c r="Q28" s="2"/>
    </x:row>
    <x:row r="29" ht="28" customHeight="1">
      <x:c r="A29" s="58" t="n">
        <x:v>23</x:v>
      </x:c>
      <x:c r="B29" s="40"/>
      <x:c r="C29" s="38" t="str"/>
      <x:c r="D29" s="38" t="str"/>
      <x:c r="E29" s="38" t="str"/>
      <x:c r="F29" s="38" t="str"/>
      <x:c r="G29" s="38" t="str"/>
      <x:c r="H29" s="40"/>
      <x:c r="I29" s="38" t="str">
        <x:v>Ouverte</x:v>
      </x:c>
      <x:c r="J29" s="38" t="str"/>
      <x:c r="K29" s="43"/>
      <x:c r="L29" s="2"/>
      <x:c r="M29" s="2"/>
      <x:c r="N29" s="2"/>
      <x:c r="O29" s="2"/>
      <x:c r="P29" s="2"/>
      <x:c r="Q29" s="2"/>
    </x:row>
    <x:row r="30" ht="28" customHeight="1">
      <x:c r="A30" s="58" t="n">
        <x:v>24</x:v>
      </x:c>
      <x:c r="B30" s="40"/>
      <x:c r="C30" s="38" t="str"/>
      <x:c r="D30" s="38" t="str"/>
      <x:c r="E30" s="38" t="str"/>
      <x:c r="F30" s="38" t="str"/>
      <x:c r="G30" s="38" t="str"/>
      <x:c r="H30" s="40"/>
      <x:c r="I30" s="38" t="str">
        <x:v>Ouverte</x:v>
      </x:c>
      <x:c r="J30" s="38" t="str"/>
      <x:c r="K30" s="43"/>
      <x:c r="L30" s="2"/>
      <x:c r="M30" s="2"/>
      <x:c r="N30" s="2"/>
      <x:c r="O30" s="2"/>
      <x:c r="P30" s="2"/>
      <x:c r="Q30" s="2"/>
    </x:row>
    <x:row r="31" ht="28" customHeight="1">
      <x:c r="A31" s="58" t="n">
        <x:v>25</x:v>
      </x:c>
      <x:c r="B31" s="40"/>
      <x:c r="C31" s="38" t="str"/>
      <x:c r="D31" s="38" t="str"/>
      <x:c r="E31" s="38" t="str"/>
      <x:c r="F31" s="38" t="str"/>
      <x:c r="G31" s="38" t="str"/>
      <x:c r="H31" s="40"/>
      <x:c r="I31" s="38" t="str">
        <x:v>Ouverte</x:v>
      </x:c>
      <x:c r="J31" s="38" t="str"/>
      <x:c r="K31" s="43"/>
      <x:c r="L31" s="2"/>
      <x:c r="M31" s="2"/>
      <x:c r="N31" s="2"/>
      <x:c r="O31" s="2"/>
      <x:c r="P31" s="2"/>
      <x:c r="Q31" s="2"/>
    </x:row>
    <x:row r="32" ht="28" customHeight="1">
      <x:c r="A32" s="58" t="n">
        <x:v>26</x:v>
      </x:c>
      <x:c r="B32" s="40"/>
      <x:c r="C32" s="38" t="str"/>
      <x:c r="D32" s="38" t="str"/>
      <x:c r="E32" s="38" t="str"/>
      <x:c r="F32" s="38" t="str"/>
      <x:c r="G32" s="38" t="str"/>
      <x:c r="H32" s="40"/>
      <x:c r="I32" s="38" t="str">
        <x:v>Ouverte</x:v>
      </x:c>
      <x:c r="J32" s="38" t="str"/>
      <x:c r="K32" s="43"/>
      <x:c r="L32" s="2"/>
      <x:c r="M32" s="2"/>
      <x:c r="N32" s="2"/>
      <x:c r="O32" s="2"/>
      <x:c r="P32" s="2"/>
      <x:c r="Q32" s="2"/>
    </x:row>
    <x:row r="33" ht="28" customHeight="1">
      <x:c r="A33" s="58" t="n">
        <x:v>27</x:v>
      </x:c>
      <x:c r="B33" s="40"/>
      <x:c r="C33" s="38" t="str"/>
      <x:c r="D33" s="38" t="str"/>
      <x:c r="E33" s="38" t="str"/>
      <x:c r="F33" s="38" t="str"/>
      <x:c r="G33" s="38" t="str"/>
      <x:c r="H33" s="40"/>
      <x:c r="I33" s="38" t="str">
        <x:v>Ouverte</x:v>
      </x:c>
      <x:c r="J33" s="38" t="str"/>
      <x:c r="K33" s="43"/>
      <x:c r="L33" s="2"/>
      <x:c r="M33" s="2"/>
      <x:c r="N33" s="2"/>
      <x:c r="O33" s="2"/>
      <x:c r="P33" s="2"/>
      <x:c r="Q33" s="2"/>
    </x:row>
    <x:row r="34" ht="28" customHeight="1">
      <x:c r="A34" s="58" t="n">
        <x:v>28</x:v>
      </x:c>
      <x:c r="B34" s="40"/>
      <x:c r="C34" s="38" t="str"/>
      <x:c r="D34" s="38" t="str"/>
      <x:c r="E34" s="38" t="str"/>
      <x:c r="F34" s="38" t="str"/>
      <x:c r="G34" s="38" t="str"/>
      <x:c r="H34" s="40"/>
      <x:c r="I34" s="38" t="str">
        <x:v>Ouverte</x:v>
      </x:c>
      <x:c r="J34" s="38" t="str"/>
      <x:c r="K34" s="43"/>
      <x:c r="L34" s="2"/>
      <x:c r="M34" s="2"/>
      <x:c r="N34" s="2"/>
      <x:c r="O34" s="2"/>
      <x:c r="P34" s="2"/>
      <x:c r="Q34" s="2"/>
    </x:row>
    <x:row r="35" ht="28" customHeight="1">
      <x:c r="A35" s="58" t="n">
        <x:v>29</x:v>
      </x:c>
      <x:c r="B35" s="40"/>
      <x:c r="C35" s="38" t="str"/>
      <x:c r="D35" s="38" t="str"/>
      <x:c r="E35" s="38" t="str"/>
      <x:c r="F35" s="38" t="str"/>
      <x:c r="G35" s="38" t="str"/>
      <x:c r="H35" s="40"/>
      <x:c r="I35" s="38" t="str">
        <x:v>Ouverte</x:v>
      </x:c>
      <x:c r="J35" s="38" t="str"/>
      <x:c r="K35" s="43"/>
      <x:c r="L35" s="2"/>
      <x:c r="M35" s="2"/>
      <x:c r="N35" s="2"/>
      <x:c r="O35" s="2"/>
      <x:c r="P35" s="2"/>
      <x:c r="Q35" s="2"/>
    </x:row>
    <x:row r="36" ht="28" customHeight="1">
      <x:c r="A36" s="59" t="n">
        <x:v>30</x:v>
      </x:c>
      <x:c r="B36" s="60"/>
      <x:c r="C36" s="45" t="str"/>
      <x:c r="D36" s="45" t="str"/>
      <x:c r="E36" s="45" t="str"/>
      <x:c r="F36" s="45" t="str"/>
      <x:c r="G36" s="45" t="str"/>
      <x:c r="H36" s="60"/>
      <x:c r="I36" s="45" t="str">
        <x:v>Ouverte</x:v>
      </x:c>
      <x:c r="J36" s="45" t="str"/>
      <x:c r="K36" s="47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I7:I36">
      <x:formula1>"Ouverte,En cours,Clôturée"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1EEF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4" hidden="0" customWidth="1"/>
    <x:col min="5" max="5" width="20" hidden="0" customWidth="1"/>
    <x:col min="6" max="6" width="24" hidden="0" customWidth="1"/>
    <x:col min="7" max="7" width="28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Plan nettoyage et contrôle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Support à compléter avec produits, dilutions, fréquences et procédures réellement validés.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7" t="str">
        <x:v>Zone / matériel</x:v>
      </x:c>
      <x:c r="B6" s="41" t="str">
        <x:v>Salissure visée</x:v>
      </x:c>
      <x:c r="C6" s="41" t="str">
        <x:v>Méthode site</x:v>
      </x:c>
      <x:c r="D6" s="41" t="str">
        <x:v>Produit / dilution validés</x:v>
      </x:c>
      <x:c r="E6" s="41" t="str">
        <x:v>Fréquence</x:v>
      </x:c>
      <x:c r="F6" s="41" t="str">
        <x:v>Responsable</x:v>
      </x:c>
      <x:c r="G6" s="41" t="str">
        <x:v>Contrôle</x:v>
      </x:c>
      <x:c r="H6" s="18" t="str">
        <x:v>Preuve / visa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28" customHeight="1">
      <x:c r="A7" s="42" t="str"/>
      <x:c r="B7" s="38" t="str"/>
      <x:c r="C7" s="38" t="str"/>
      <x:c r="D7" s="38" t="str"/>
      <x:c r="E7" s="38" t="str"/>
      <x:c r="F7" s="38" t="str"/>
      <x:c r="G7" s="38" t="str"/>
      <x:c r="H7" s="53" t="str"/>
      <x:c r="I7" s="2"/>
      <x:c r="J7" s="2"/>
      <x:c r="K7" s="2"/>
      <x:c r="L7" s="2"/>
      <x:c r="M7" s="2"/>
      <x:c r="N7" s="2"/>
      <x:c r="O7" s="2"/>
      <x:c r="P7" s="2"/>
      <x:c r="Q7" s="2"/>
    </x:row>
    <x:row r="8" ht="28" customHeight="1">
      <x:c r="A8" s="42" t="str"/>
      <x:c r="B8" s="38" t="str"/>
      <x:c r="C8" s="38" t="str"/>
      <x:c r="D8" s="38" t="str"/>
      <x:c r="E8" s="38" t="str"/>
      <x:c r="F8" s="38" t="str"/>
      <x:c r="G8" s="38" t="str"/>
      <x:c r="H8" s="53" t="str"/>
      <x:c r="I8" s="2"/>
      <x:c r="J8" s="2"/>
      <x:c r="K8" s="2"/>
      <x:c r="L8" s="2"/>
      <x:c r="M8" s="2"/>
      <x:c r="N8" s="2"/>
      <x:c r="O8" s="2"/>
      <x:c r="P8" s="2"/>
      <x:c r="Q8" s="2"/>
    </x:row>
    <x:row r="9" ht="28" customHeight="1">
      <x:c r="A9" s="42" t="str"/>
      <x:c r="B9" s="38" t="str"/>
      <x:c r="C9" s="38" t="str"/>
      <x:c r="D9" s="38" t="str"/>
      <x:c r="E9" s="38" t="str"/>
      <x:c r="F9" s="38" t="str"/>
      <x:c r="G9" s="38" t="str"/>
      <x:c r="H9" s="53" t="str"/>
      <x:c r="I9" s="2"/>
      <x:c r="J9" s="2"/>
      <x:c r="K9" s="2"/>
      <x:c r="L9" s="2"/>
      <x:c r="M9" s="2"/>
      <x:c r="N9" s="2"/>
      <x:c r="O9" s="2"/>
      <x:c r="P9" s="2"/>
      <x:c r="Q9" s="2"/>
    </x:row>
    <x:row r="10" ht="28" customHeight="1">
      <x:c r="A10" s="42" t="str"/>
      <x:c r="B10" s="38" t="str"/>
      <x:c r="C10" s="38" t="str"/>
      <x:c r="D10" s="38" t="str"/>
      <x:c r="E10" s="38" t="str"/>
      <x:c r="F10" s="38" t="str"/>
      <x:c r="G10" s="38" t="str"/>
      <x:c r="H10" s="53" t="str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8" customHeight="1">
      <x:c r="A11" s="42" t="str"/>
      <x:c r="B11" s="38" t="str"/>
      <x:c r="C11" s="38" t="str"/>
      <x:c r="D11" s="38" t="str"/>
      <x:c r="E11" s="38" t="str"/>
      <x:c r="F11" s="38" t="str"/>
      <x:c r="G11" s="38" t="str"/>
      <x:c r="H11" s="53" t="str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8" customHeight="1">
      <x:c r="A12" s="42" t="str"/>
      <x:c r="B12" s="38" t="str"/>
      <x:c r="C12" s="38" t="str"/>
      <x:c r="D12" s="38" t="str"/>
      <x:c r="E12" s="38" t="str"/>
      <x:c r="F12" s="38" t="str"/>
      <x:c r="G12" s="38" t="str"/>
      <x:c r="H12" s="53" t="str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8" customHeight="1">
      <x:c r="A13" s="42" t="str"/>
      <x:c r="B13" s="38" t="str"/>
      <x:c r="C13" s="38" t="str"/>
      <x:c r="D13" s="38" t="str"/>
      <x:c r="E13" s="38" t="str"/>
      <x:c r="F13" s="38" t="str"/>
      <x:c r="G13" s="38" t="str"/>
      <x:c r="H13" s="53" t="str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8" customHeight="1">
      <x:c r="A14" s="42" t="str"/>
      <x:c r="B14" s="38" t="str"/>
      <x:c r="C14" s="38" t="str"/>
      <x:c r="D14" s="38" t="str"/>
      <x:c r="E14" s="38" t="str"/>
      <x:c r="F14" s="38" t="str"/>
      <x:c r="G14" s="38" t="str"/>
      <x:c r="H14" s="53" t="str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8" customHeight="1">
      <x:c r="A15" s="42" t="str"/>
      <x:c r="B15" s="38" t="str"/>
      <x:c r="C15" s="38" t="str"/>
      <x:c r="D15" s="38" t="str"/>
      <x:c r="E15" s="38" t="str"/>
      <x:c r="F15" s="38" t="str"/>
      <x:c r="G15" s="38" t="str"/>
      <x:c r="H15" s="53" t="str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8" customHeight="1">
      <x:c r="A16" s="42" t="str"/>
      <x:c r="B16" s="38" t="str"/>
      <x:c r="C16" s="38" t="str"/>
      <x:c r="D16" s="38" t="str"/>
      <x:c r="E16" s="38" t="str"/>
      <x:c r="F16" s="38" t="str"/>
      <x:c r="G16" s="38" t="str"/>
      <x:c r="H16" s="53" t="str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8" customHeight="1">
      <x:c r="A17" s="42" t="str"/>
      <x:c r="B17" s="38" t="str"/>
      <x:c r="C17" s="38" t="str"/>
      <x:c r="D17" s="38" t="str"/>
      <x:c r="E17" s="38" t="str"/>
      <x:c r="F17" s="38" t="str"/>
      <x:c r="G17" s="38" t="str"/>
      <x:c r="H17" s="53" t="str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8" customHeight="1">
      <x:c r="A18" s="42" t="str"/>
      <x:c r="B18" s="38" t="str"/>
      <x:c r="C18" s="38" t="str"/>
      <x:c r="D18" s="38" t="str"/>
      <x:c r="E18" s="38" t="str"/>
      <x:c r="F18" s="38" t="str"/>
      <x:c r="G18" s="38" t="str"/>
      <x:c r="H18" s="53" t="str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8" customHeight="1">
      <x:c r="A19" s="42" t="str"/>
      <x:c r="B19" s="38" t="str"/>
      <x:c r="C19" s="38" t="str"/>
      <x:c r="D19" s="38" t="str"/>
      <x:c r="E19" s="38" t="str"/>
      <x:c r="F19" s="38" t="str"/>
      <x:c r="G19" s="38" t="str"/>
      <x:c r="H19" s="53" t="str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8" customHeight="1">
      <x:c r="A20" s="42" t="str"/>
      <x:c r="B20" s="38" t="str"/>
      <x:c r="C20" s="38" t="str"/>
      <x:c r="D20" s="38" t="str"/>
      <x:c r="E20" s="38" t="str"/>
      <x:c r="F20" s="38" t="str"/>
      <x:c r="G20" s="38" t="str"/>
      <x:c r="H20" s="53" t="str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8" customHeight="1">
      <x:c r="A21" s="42" t="str"/>
      <x:c r="B21" s="38" t="str"/>
      <x:c r="C21" s="38" t="str"/>
      <x:c r="D21" s="38" t="str"/>
      <x:c r="E21" s="38" t="str"/>
      <x:c r="F21" s="38" t="str"/>
      <x:c r="G21" s="38" t="str"/>
      <x:c r="H21" s="53" t="str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8" customHeight="1">
      <x:c r="A22" s="42" t="str"/>
      <x:c r="B22" s="38" t="str"/>
      <x:c r="C22" s="38" t="str"/>
      <x:c r="D22" s="38" t="str"/>
      <x:c r="E22" s="38" t="str"/>
      <x:c r="F22" s="38" t="str"/>
      <x:c r="G22" s="38" t="str"/>
      <x:c r="H22" s="53" t="str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8" customHeight="1">
      <x:c r="A23" s="42" t="str"/>
      <x:c r="B23" s="38" t="str"/>
      <x:c r="C23" s="38" t="str"/>
      <x:c r="D23" s="38" t="str"/>
      <x:c r="E23" s="38" t="str"/>
      <x:c r="F23" s="38" t="str"/>
      <x:c r="G23" s="38" t="str"/>
      <x:c r="H23" s="53" t="str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8" customHeight="1">
      <x:c r="A24" s="42" t="str"/>
      <x:c r="B24" s="38" t="str"/>
      <x:c r="C24" s="38" t="str"/>
      <x:c r="D24" s="38" t="str"/>
      <x:c r="E24" s="38" t="str"/>
      <x:c r="F24" s="38" t="str"/>
      <x:c r="G24" s="38" t="str"/>
      <x:c r="H24" s="53" t="str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8" customHeight="1">
      <x:c r="A25" s="42" t="str"/>
      <x:c r="B25" s="38" t="str"/>
      <x:c r="C25" s="38" t="str"/>
      <x:c r="D25" s="38" t="str"/>
      <x:c r="E25" s="38" t="str"/>
      <x:c r="F25" s="38" t="str"/>
      <x:c r="G25" s="38" t="str"/>
      <x:c r="H25" s="53" t="str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8" customHeight="1">
      <x:c r="A26" s="42" t="str"/>
      <x:c r="B26" s="38" t="str"/>
      <x:c r="C26" s="38" t="str"/>
      <x:c r="D26" s="38" t="str"/>
      <x:c r="E26" s="38" t="str"/>
      <x:c r="F26" s="38" t="str"/>
      <x:c r="G26" s="38" t="str"/>
      <x:c r="H26" s="53" t="str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8" customHeight="1">
      <x:c r="A27" s="42" t="str"/>
      <x:c r="B27" s="38" t="str"/>
      <x:c r="C27" s="38" t="str"/>
      <x:c r="D27" s="38" t="str"/>
      <x:c r="E27" s="38" t="str"/>
      <x:c r="F27" s="38" t="str"/>
      <x:c r="G27" s="38" t="str"/>
      <x:c r="H27" s="53" t="str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8" customHeight="1">
      <x:c r="A28" s="42" t="str"/>
      <x:c r="B28" s="38" t="str"/>
      <x:c r="C28" s="38" t="str"/>
      <x:c r="D28" s="38" t="str"/>
      <x:c r="E28" s="38" t="str"/>
      <x:c r="F28" s="38" t="str"/>
      <x:c r="G28" s="38" t="str"/>
      <x:c r="H28" s="53" t="str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8" customHeight="1">
      <x:c r="A29" s="42" t="str"/>
      <x:c r="B29" s="38" t="str"/>
      <x:c r="C29" s="38" t="str"/>
      <x:c r="D29" s="38" t="str"/>
      <x:c r="E29" s="38" t="str"/>
      <x:c r="F29" s="38" t="str"/>
      <x:c r="G29" s="38" t="str"/>
      <x:c r="H29" s="53" t="str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8" customHeight="1">
      <x:c r="A30" s="42" t="str"/>
      <x:c r="B30" s="38" t="str"/>
      <x:c r="C30" s="38" t="str"/>
      <x:c r="D30" s="38" t="str"/>
      <x:c r="E30" s="38" t="str"/>
      <x:c r="F30" s="38" t="str"/>
      <x:c r="G30" s="38" t="str"/>
      <x:c r="H30" s="53" t="str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8" customHeight="1">
      <x:c r="A31" s="44" t="str"/>
      <x:c r="B31" s="45" t="str"/>
      <x:c r="C31" s="45" t="str"/>
      <x:c r="D31" s="45" t="str"/>
      <x:c r="E31" s="45" t="str"/>
      <x:c r="F31" s="45" t="str"/>
      <x:c r="G31" s="45" t="str"/>
      <x:c r="H31" s="55" t="str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pageMargins left="0.7" right="0.7" top="0.75" bottom="0.75" header="0.3" footer="0.3"/>
</x:worksheet>
</file>